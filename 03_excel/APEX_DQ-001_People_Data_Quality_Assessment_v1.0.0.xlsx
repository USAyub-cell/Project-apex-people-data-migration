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5cc13a5c3148b5" /></Relationships>
</file>

<file path=xl/workbook.xml><?xml version="1.0" encoding="utf-8"?>
<x:workbook xmlns:x="http://schemas.openxmlformats.org/spreadsheetml/2006/main">
  <x:sheets>
    <x:sheet xmlns:r="http://schemas.openxmlformats.org/officeDocument/2006/relationships" name="People_Data" sheetId="1" r:id="Red9d44e4e12d4b9a"/>
    <x:sheet xmlns:r="http://schemas.openxmlformats.org/officeDocument/2006/relationships" name="Scenario_Guide" sheetId="2" r:id="R9ef0a952be4c4760"/>
    <x:sheet xmlns:r="http://schemas.openxmlformats.org/officeDocument/2006/relationships" name="DQ_Overview" sheetId="3" r:id="R19acb625db504eb2"/>
    <x:sheet xmlns:r="http://schemas.openxmlformats.org/officeDocument/2006/relationships" name="Field_Profile" sheetId="4" r:id="Rf4d6e34cd73d48cc"/>
    <x:sheet xmlns:r="http://schemas.openxmlformats.org/officeDocument/2006/relationships" name="Issue_Register" sheetId="5" r:id="Rb223455a666545d6"/>
    <x:sheet xmlns:r="http://schemas.openxmlformats.org/officeDocument/2006/relationships" name="Assessed_Data" sheetId="6" r:id="R8724370b6a884328"/>
    <x:sheet xmlns:r="http://schemas.openxmlformats.org/officeDocument/2006/relationships" name="Rule_Catalogue" sheetId="7" r:id="Rd6f0a765bc5c4567"/>
    <x:sheet xmlns:r="http://schemas.openxmlformats.org/officeDocument/2006/relationships" name="Read_Me" sheetId="8" r:id="Rf0e8ad68fc5b4b62"/>
  </x:sheets>
</x:workbook>
</file>

<file path=xl/sharedStrings.xml><?xml version="1.0" encoding="utf-8"?>
<x:sst xmlns:x="http://schemas.openxmlformats.org/spreadsheetml/2006/main">
  <x:si>
    <x:t xml:space="preserve">Employee_ID</x:t>
  </x:si>
  <x:si>
    <x:t xml:space="preserve">First_Name</x:t>
  </x:si>
  <x:si>
    <x:t xml:space="preserve">Last_Name</x:t>
  </x:si>
  <x:si>
    <x:t xml:space="preserve">Country</x:t>
  </x:si>
  <x:si>
    <x:t xml:space="preserve">Department</x:t>
  </x:si>
  <x:si>
    <x:t xml:space="preserve">Email</x:t>
  </x:si>
  <x:si>
    <x:t xml:space="preserve">AD_Username</x:t>
  </x:si>
  <x:si>
    <x:t xml:space="preserve">BambooHR_ID</x:t>
  </x:si>
  <x:si>
    <x:t xml:space="preserve">Maconomy_ID</x:t>
  </x:si>
  <x:si>
    <x:t xml:space="preserve">Xytech_ID</x:t>
  </x:si>
  <x:si>
    <x:t xml:space="preserve">Duplicate_Flag</x:t>
  </x:si>
  <x:si>
    <x:t xml:space="preserve">Missing_Email</x:t>
  </x:si>
  <x:si>
    <x:t xml:space="preserve">Data_Quality_Status</x:t>
  </x:si>
  <x:si>
    <x:t xml:space="preserve">Source_System</x:t>
  </x:si>
  <x:si>
    <x:t xml:space="preserve">Source_of_Truth</x:t>
  </x:si>
  <x:si>
    <x:t xml:space="preserve">Validation_Status</x:t>
  </x:si>
  <x:si>
    <x:t xml:space="preserve">Emp2</x:t>
  </x:si>
  <x:si>
    <x:t xml:space="preserve">User2</x:t>
  </x:si>
  <x:si>
    <x:t xml:space="preserve">UK</x:t>
  </x:si>
  <x:si>
    <x:t xml:space="preserve">HR</x:t>
  </x:si>
  <x:si>
    <x:t xml:space="preserve">emp2@company.com</x:t>
  </x:si>
  <x:si>
    <x:t xml:space="preserve">emp2</x:t>
  </x:si>
  <x:si>
    <x:t xml:space="preserve">BHR2</x:t>
  </x:si>
  <x:si>
    <x:t xml:space="preserve">MAC2</x:t>
  </x:si>
  <x:si>
    <x:t xml:space="preserve">XY2</x:t>
  </x:si>
  <x:si>
    <x:t xml:space="preserve">No</x:t>
  </x:si>
  <x:si>
    <x:t xml:space="preserve">Clean</x:t>
  </x:si>
  <x:si>
    <x:t xml:space="preserve">BambooHR</x:t>
  </x:si>
  <x:si>
    <x:t xml:space="preserve">Confirmed</x:t>
  </x:si>
  <x:si>
    <x:t xml:space="preserve">Validated</x:t>
  </x:si>
  <x:si>
    <x:t xml:space="preserve">Emp3</x:t>
  </x:si>
  <x:si>
    <x:t xml:space="preserve">User3</x:t>
  </x:si>
  <x:si>
    <x:t xml:space="preserve">USA</x:t>
  </x:si>
  <x:si>
    <x:t xml:space="preserve">Finance</x:t>
  </x:si>
  <x:si>
    <x:t xml:space="preserve">emp3@company.com</x:t>
  </x:si>
  <x:si>
    <x:t xml:space="preserve">emp3</x:t>
  </x:si>
  <x:si>
    <x:t xml:space="preserve">BHR3</x:t>
  </x:si>
  <x:si>
    <x:t xml:space="preserve">MAC3</x:t>
  </x:si>
  <x:si>
    <x:t xml:space="preserve">XY3</x:t>
  </x:si>
  <x:si>
    <x:t xml:space="preserve">Active Directory</x:t>
  </x:si>
  <x:si>
    <x:t xml:space="preserve">Emp4</x:t>
  </x:si>
  <x:si>
    <x:t xml:space="preserve">User4</x:t>
  </x:si>
  <x:si>
    <x:t xml:space="preserve">Canada</x:t>
  </x:si>
  <x:si>
    <x:t xml:space="preserve">IT</x:t>
  </x:si>
  <x:si>
    <x:t xml:space="preserve">emp4@company.com</x:t>
  </x:si>
  <x:si>
    <x:t xml:space="preserve">emp4</x:t>
  </x:si>
  <x:si>
    <x:t xml:space="preserve">BHR4</x:t>
  </x:si>
  <x:si>
    <x:t xml:space="preserve">MAC4</x:t>
  </x:si>
  <x:si>
    <x:t xml:space="preserve">XY4</x:t>
  </x:si>
  <x:si>
    <x:t xml:space="preserve">Maconomy</x:t>
  </x:si>
  <x:si>
    <x:t xml:space="preserve">Emp5</x:t>
  </x:si>
  <x:si>
    <x:t xml:space="preserve">User5</x:t>
  </x:si>
  <x:si>
    <x:t xml:space="preserve">Germany</x:t>
  </x:si>
  <x:si>
    <x:t xml:space="preserve">Operations</x:t>
  </x:si>
  <x:si>
    <x:t xml:space="preserve">emp5@company.com</x:t>
  </x:si>
  <x:si>
    <x:t xml:space="preserve">emp5</x:t>
  </x:si>
  <x:si>
    <x:t xml:space="preserve">BHR5</x:t>
  </x:si>
  <x:si>
    <x:t xml:space="preserve">MAC5</x:t>
  </x:si>
  <x:si>
    <x:t xml:space="preserve">XY5</x:t>
  </x:si>
  <x:si>
    <x:t xml:space="preserve">Xytech</x:t>
  </x:si>
  <x:si>
    <x:t xml:space="preserve">Emp6</x:t>
  </x:si>
  <x:si>
    <x:t xml:space="preserve">User6</x:t>
  </x:si>
  <x:si>
    <x:t xml:space="preserve">India</x:t>
  </x:si>
  <x:si>
    <x:t xml:space="preserve">Sales</x:t>
  </x:si>
  <x:si>
    <x:t xml:space="preserve">emp6@company.com</x:t>
  </x:si>
  <x:si>
    <x:t xml:space="preserve">emp6</x:t>
  </x:si>
  <x:si>
    <x:t xml:space="preserve">BHR6</x:t>
  </x:si>
  <x:si>
    <x:t xml:space="preserve">MAC6</x:t>
  </x:si>
  <x:si>
    <x:t xml:space="preserve">XY6</x:t>
  </x:si>
  <x:si>
    <x:t xml:space="preserve">Emp7</x:t>
  </x:si>
  <x:si>
    <x:t xml:space="preserve">User7</x:t>
  </x:si>
  <x:si>
    <x:t xml:space="preserve">Australia</x:t>
  </x:si>
  <x:si>
    <x:t xml:space="preserve">Marketing</x:t>
  </x:si>
  <x:si>
    <x:t xml:space="preserve">emp7@company.com</x:t>
  </x:si>
  <x:si>
    <x:t xml:space="preserve">emp7</x:t>
  </x:si>
  <x:si>
    <x:t xml:space="preserve">BHR7</x:t>
  </x:si>
  <x:si>
    <x:t xml:space="preserve">MAC7</x:t>
  </x:si>
  <x:si>
    <x:t xml:space="preserve">XY7</x:t>
  </x:si>
  <x:si>
    <x:t xml:space="preserve">Emp8</x:t>
  </x:si>
  <x:si>
    <x:t xml:space="preserve">User8</x:t>
  </x:si>
  <x:si>
    <x:t xml:space="preserve">UAE</x:t>
  </x:si>
  <x:si>
    <x:t xml:space="preserve">emp8@company.com</x:t>
  </x:si>
  <x:si>
    <x:t xml:space="preserve">emp8</x:t>
  </x:si>
  <x:si>
    <x:t xml:space="preserve">BHR8</x:t>
  </x:si>
  <x:si>
    <x:t xml:space="preserve">MAC8</x:t>
  </x:si>
  <x:si>
    <x:t xml:space="preserve">XY8</x:t>
  </x:si>
  <x:si>
    <x:t xml:space="preserve">Emp9</x:t>
  </x:si>
  <x:si>
    <x:t xml:space="preserve">User9</x:t>
  </x:si>
  <x:si>
    <x:t xml:space="preserve">France</x:t>
  </x:si>
  <x:si>
    <x:t xml:space="preserve">emp9@company.com</x:t>
  </x:si>
  <x:si>
    <x:t xml:space="preserve">emp9</x:t>
  </x:si>
  <x:si>
    <x:t xml:space="preserve">BHR9</x:t>
  </x:si>
  <x:si>
    <x:t xml:space="preserve">MAC9</x:t>
  </x:si>
  <x:si>
    <x:t xml:space="preserve">XY9</x:t>
  </x:si>
  <x:si>
    <x:t xml:space="preserve">Emp10</x:t>
  </x:si>
  <x:si>
    <x:t xml:space="preserve">User10</x:t>
  </x:si>
  <x:si>
    <x:t xml:space="preserve">Nigeria</x:t>
  </x:si>
  <x:si>
    <x:t xml:space="preserve">emp10@company.com</x:t>
  </x:si>
  <x:si>
    <x:t xml:space="preserve">emp10</x:t>
  </x:si>
  <x:si>
    <x:t xml:space="preserve">BHR10</x:t>
  </x:si>
  <x:si>
    <x:t xml:space="preserve">MAC10</x:t>
  </x:si>
  <x:si>
    <x:t xml:space="preserve">XY10</x:t>
  </x:si>
  <x:si>
    <x:t xml:space="preserve">Emp11</x:t>
  </x:si>
  <x:si>
    <x:t xml:space="preserve">User11</x:t>
  </x:si>
  <x:si>
    <x:t xml:space="preserve">Gambia</x:t>
  </x:si>
  <x:si>
    <x:t xml:space="preserve">emp11@company.com</x:t>
  </x:si>
  <x:si>
    <x:t xml:space="preserve">emp11</x:t>
  </x:si>
  <x:si>
    <x:t xml:space="preserve">BHR11</x:t>
  </x:si>
  <x:si>
    <x:t xml:space="preserve">MAC11</x:t>
  </x:si>
  <x:si>
    <x:t xml:space="preserve">XY11</x:t>
  </x:si>
  <x:si>
    <x:t xml:space="preserve">Emp12</x:t>
  </x:si>
  <x:si>
    <x:t xml:space="preserve">User12</x:t>
  </x:si>
  <x:si>
    <x:t xml:space="preserve">Spain</x:t>
  </x:si>
  <x:si>
    <x:t xml:space="preserve">emp12@company.com</x:t>
  </x:si>
  <x:si>
    <x:t xml:space="preserve">emp12</x:t>
  </x:si>
  <x:si>
    <x:t xml:space="preserve">BHR12</x:t>
  </x:si>
  <x:si>
    <x:t xml:space="preserve">MAC12</x:t>
  </x:si>
  <x:si>
    <x:t xml:space="preserve">XY12</x:t>
  </x:si>
  <x:si>
    <x:t xml:space="preserve">Emp13</x:t>
  </x:si>
  <x:si>
    <x:t xml:space="preserve">User13</x:t>
  </x:si>
  <x:si>
    <x:t xml:space="preserve">Netherlands</x:t>
  </x:si>
  <x:si>
    <x:t xml:space="preserve">emp13@company.com</x:t>
  </x:si>
  <x:si>
    <x:t xml:space="preserve">emp13</x:t>
  </x:si>
  <x:si>
    <x:t xml:space="preserve">BHR13</x:t>
  </x:si>
  <x:si>
    <x:t xml:space="preserve">MAC13</x:t>
  </x:si>
  <x:si>
    <x:t xml:space="preserve">XY13</x:t>
  </x:si>
  <x:si>
    <x:t xml:space="preserve">Emp14</x:t>
  </x:si>
  <x:si>
    <x:t xml:space="preserve">User14</x:t>
  </x:si>
  <x:si>
    <x:t xml:space="preserve">Singapore</x:t>
  </x:si>
  <x:si>
    <x:t xml:space="preserve">emp14@company.com</x:t>
  </x:si>
  <x:si>
    <x:t xml:space="preserve">emp14</x:t>
  </x:si>
  <x:si>
    <x:t xml:space="preserve">BHR14</x:t>
  </x:si>
  <x:si>
    <x:t xml:space="preserve">MAC14</x:t>
  </x:si>
  <x:si>
    <x:t xml:space="preserve">XY14</x:t>
  </x:si>
  <x:si>
    <x:t xml:space="preserve">Emp15</x:t>
  </x:si>
  <x:si>
    <x:t xml:space="preserve">User15</x:t>
  </x:si>
  <x:si>
    <x:t xml:space="preserve">Brazil</x:t>
  </x:si>
  <x:si>
    <x:t xml:space="preserve">emp15@company.com</x:t>
  </x:si>
  <x:si>
    <x:t xml:space="preserve">emp15</x:t>
  </x:si>
  <x:si>
    <x:t xml:space="preserve">BHR15</x:t>
  </x:si>
  <x:si>
    <x:t xml:space="preserve">MAC15</x:t>
  </x:si>
  <x:si>
    <x:t xml:space="preserve">XY15</x:t>
  </x:si>
  <x:si>
    <x:t xml:space="preserve">Emp16</x:t>
  </x:si>
  <x:si>
    <x:t xml:space="preserve">User16</x:t>
  </x:si>
  <x:si>
    <x:t xml:space="preserve">emp16@company.com</x:t>
  </x:si>
  <x:si>
    <x:t xml:space="preserve">emp16</x:t>
  </x:si>
  <x:si>
    <x:t xml:space="preserve">BHR16</x:t>
  </x:si>
  <x:si>
    <x:t xml:space="preserve">MAC16</x:t>
  </x:si>
  <x:si>
    <x:t xml:space="preserve">XY16</x:t>
  </x:si>
  <x:si>
    <x:t xml:space="preserve">Emp17</x:t>
  </x:si>
  <x:si>
    <x:t xml:space="preserve">User17</x:t>
  </x:si>
  <x:si>
    <x:t xml:space="preserve">emp17@company.com</x:t>
  </x:si>
  <x:si>
    <x:t xml:space="preserve">emp17</x:t>
  </x:si>
  <x:si>
    <x:t xml:space="preserve">BHR17</x:t>
  </x:si>
  <x:si>
    <x:t xml:space="preserve">MAC17</x:t>
  </x:si>
  <x:si>
    <x:t xml:space="preserve">XY17</x:t>
  </x:si>
  <x:si>
    <x:t xml:space="preserve">Emp18</x:t>
  </x:si>
  <x:si>
    <x:t xml:space="preserve">User18</x:t>
  </x:si>
  <x:si>
    <x:t xml:space="preserve">emp18@company.com</x:t>
  </x:si>
  <x:si>
    <x:t xml:space="preserve">emp18</x:t>
  </x:si>
  <x:si>
    <x:t xml:space="preserve">BHR18</x:t>
  </x:si>
  <x:si>
    <x:t xml:space="preserve">MAC18</x:t>
  </x:si>
  <x:si>
    <x:t xml:space="preserve">XY18</x:t>
  </x:si>
  <x:si>
    <x:t xml:space="preserve">Emp19</x:t>
  </x:si>
  <x:si>
    <x:t xml:space="preserve">User19</x:t>
  </x:si>
  <x:si>
    <x:t xml:space="preserve">emp19@company.com</x:t>
  </x:si>
  <x:si>
    <x:t xml:space="preserve">emp19</x:t>
  </x:si>
  <x:si>
    <x:t xml:space="preserve">BHR19</x:t>
  </x:si>
  <x:si>
    <x:t xml:space="preserve">MAC19</x:t>
  </x:si>
  <x:si>
    <x:t xml:space="preserve">XY19</x:t>
  </x:si>
  <x:si>
    <x:t xml:space="preserve">Emp20</x:t>
  </x:si>
  <x:si>
    <x:t xml:space="preserve">User20</x:t>
  </x:si>
  <x:si>
    <x:t xml:space="preserve">emp20@company.com</x:t>
  </x:si>
  <x:si>
    <x:t xml:space="preserve">emp20</x:t>
  </x:si>
  <x:si>
    <x:t xml:space="preserve">BHR20</x:t>
  </x:si>
  <x:si>
    <x:t xml:space="preserve">MAC20</x:t>
  </x:si>
  <x:si>
    <x:t xml:space="preserve">XY20</x:t>
  </x:si>
  <x:si>
    <x:t xml:space="preserve">Emp21</x:t>
  </x:si>
  <x:si>
    <x:t xml:space="preserve">User21</x:t>
  </x:si>
  <x:si>
    <x:t xml:space="preserve">emp21@company.com</x:t>
  </x:si>
  <x:si>
    <x:t xml:space="preserve">emp21</x:t>
  </x:si>
  <x:si>
    <x:t xml:space="preserve">BHR21</x:t>
  </x:si>
  <x:si>
    <x:t xml:space="preserve">MAC21</x:t>
  </x:si>
  <x:si>
    <x:t xml:space="preserve">XY21</x:t>
  </x:si>
  <x:si>
    <x:t xml:space="preserve">Emp22</x:t>
  </x:si>
  <x:si>
    <x:t xml:space="preserve">User22</x:t>
  </x:si>
  <x:si>
    <x:t xml:space="preserve">emp22@company.com</x:t>
  </x:si>
  <x:si>
    <x:t xml:space="preserve">emp22</x:t>
  </x:si>
  <x:si>
    <x:t xml:space="preserve">BHR22</x:t>
  </x:si>
  <x:si>
    <x:t xml:space="preserve">MAC22</x:t>
  </x:si>
  <x:si>
    <x:t xml:space="preserve">XY22</x:t>
  </x:si>
  <x:si>
    <x:t xml:space="preserve">Emp23</x:t>
  </x:si>
  <x:si>
    <x:t xml:space="preserve">User23</x:t>
  </x:si>
  <x:si>
    <x:t xml:space="preserve">emp23@company.com</x:t>
  </x:si>
  <x:si>
    <x:t xml:space="preserve">emp23</x:t>
  </x:si>
  <x:si>
    <x:t xml:space="preserve">BHR23</x:t>
  </x:si>
  <x:si>
    <x:t xml:space="preserve">MAC23</x:t>
  </x:si>
  <x:si>
    <x:t xml:space="preserve">XY23</x:t>
  </x:si>
  <x:si>
    <x:t xml:space="preserve">Emp24</x:t>
  </x:si>
  <x:si>
    <x:t xml:space="preserve">User24</x:t>
  </x:si>
  <x:si>
    <x:t xml:space="preserve">emp24@company.com</x:t>
  </x:si>
  <x:si>
    <x:t xml:space="preserve">emp24</x:t>
  </x:si>
  <x:si>
    <x:t xml:space="preserve">BHR24</x:t>
  </x:si>
  <x:si>
    <x:t xml:space="preserve">MAC24</x:t>
  </x:si>
  <x:si>
    <x:t xml:space="preserve">XY24</x:t>
  </x:si>
  <x:si>
    <x:t xml:space="preserve">Emp25</x:t>
  </x:si>
  <x:si>
    <x:t xml:space="preserve">User25</x:t>
  </x:si>
  <x:si>
    <x:t xml:space="preserve">emp25@company.com</x:t>
  </x:si>
  <x:si>
    <x:t xml:space="preserve">emp25</x:t>
  </x:si>
  <x:si>
    <x:t xml:space="preserve">BHR25</x:t>
  </x:si>
  <x:si>
    <x:t xml:space="preserve">MAC25</x:t>
  </x:si>
  <x:si>
    <x:t xml:space="preserve">XY25</x:t>
  </x:si>
  <x:si>
    <x:t xml:space="preserve">Emp26</x:t>
  </x:si>
  <x:si>
    <x:t xml:space="preserve">User26</x:t>
  </x:si>
  <x:si>
    <x:t xml:space="preserve">emp26@company.com</x:t>
  </x:si>
  <x:si>
    <x:t xml:space="preserve">emp26</x:t>
  </x:si>
  <x:si>
    <x:t xml:space="preserve">BHR26</x:t>
  </x:si>
  <x:si>
    <x:t xml:space="preserve">MAC26</x:t>
  </x:si>
  <x:si>
    <x:t xml:space="preserve">XY26</x:t>
  </x:si>
  <x:si>
    <x:t xml:space="preserve">Emp27</x:t>
  </x:si>
  <x:si>
    <x:t xml:space="preserve">User27</x:t>
  </x:si>
  <x:si>
    <x:t xml:space="preserve">emp27@company.com</x:t>
  </x:si>
  <x:si>
    <x:t xml:space="preserve">emp27</x:t>
  </x:si>
  <x:si>
    <x:t xml:space="preserve">BHR27</x:t>
  </x:si>
  <x:si>
    <x:t xml:space="preserve">MAC27</x:t>
  </x:si>
  <x:si>
    <x:t xml:space="preserve">XY27</x:t>
  </x:si>
  <x:si>
    <x:t xml:space="preserve">Emp28</x:t>
  </x:si>
  <x:si>
    <x:t xml:space="preserve">User28</x:t>
  </x:si>
  <x:si>
    <x:t xml:space="preserve">emp28@company.com</x:t>
  </x:si>
  <x:si>
    <x:t xml:space="preserve">emp28</x:t>
  </x:si>
  <x:si>
    <x:t xml:space="preserve">BHR28</x:t>
  </x:si>
  <x:si>
    <x:t xml:space="preserve">MAC28</x:t>
  </x:si>
  <x:si>
    <x:t xml:space="preserve">XY28</x:t>
  </x:si>
  <x:si>
    <x:t xml:space="preserve">Emp29</x:t>
  </x:si>
  <x:si>
    <x:t xml:space="preserve">User29</x:t>
  </x:si>
  <x:si>
    <x:t xml:space="preserve">emp29</x:t>
  </x:si>
  <x:si>
    <x:t xml:space="preserve">BHR29</x:t>
  </x:si>
  <x:si>
    <x:t xml:space="preserve">MAC29</x:t>
  </x:si>
  <x:si>
    <x:t xml:space="preserve">XY29</x:t>
  </x:si>
  <x:si>
    <x:t xml:space="preserve">Yes</x:t>
  </x:si>
  <x:si>
    <x:t xml:space="preserve">Issue</x:t>
  </x:si>
  <x:si>
    <x:t xml:space="preserve">Pending</x:t>
  </x:si>
  <x:si>
    <x:t xml:space="preserve">Emp30</x:t>
  </x:si>
  <x:si>
    <x:t xml:space="preserve">User30</x:t>
  </x:si>
  <x:si>
    <x:t xml:space="preserve">emp30@company.com</x:t>
  </x:si>
  <x:si>
    <x:t xml:space="preserve">emp30</x:t>
  </x:si>
  <x:si>
    <x:t xml:space="preserve">BHR30</x:t>
  </x:si>
  <x:si>
    <x:t xml:space="preserve">MAC30</x:t>
  </x:si>
  <x:si>
    <x:t xml:space="preserve">XY30</x:t>
  </x:si>
  <x:si>
    <x:t xml:space="preserve">Emp31</x:t>
  </x:si>
  <x:si>
    <x:t xml:space="preserve">User31</x:t>
  </x:si>
  <x:si>
    <x:t xml:space="preserve">emp31@company.com</x:t>
  </x:si>
  <x:si>
    <x:t xml:space="preserve">emp31</x:t>
  </x:si>
  <x:si>
    <x:t xml:space="preserve">BHR31</x:t>
  </x:si>
  <x:si>
    <x:t xml:space="preserve">MAC31</x:t>
  </x:si>
  <x:si>
    <x:t xml:space="preserve">XY31</x:t>
  </x:si>
  <x:si>
    <x:t xml:space="preserve">Emp32</x:t>
  </x:si>
  <x:si>
    <x:t xml:space="preserve">User32</x:t>
  </x:si>
  <x:si>
    <x:t xml:space="preserve">emp32@company.com</x:t>
  </x:si>
  <x:si>
    <x:t xml:space="preserve">emp32</x:t>
  </x:si>
  <x:si>
    <x:t xml:space="preserve">BHR32</x:t>
  </x:si>
  <x:si>
    <x:t xml:space="preserve">MAC32</x:t>
  </x:si>
  <x:si>
    <x:t xml:space="preserve">XY32</x:t>
  </x:si>
  <x:si>
    <x:t xml:space="preserve">Emp33</x:t>
  </x:si>
  <x:si>
    <x:t xml:space="preserve">User33</x:t>
  </x:si>
  <x:si>
    <x:t xml:space="preserve">emp33@company.com</x:t>
  </x:si>
  <x:si>
    <x:t xml:space="preserve">emp33</x:t>
  </x:si>
  <x:si>
    <x:t xml:space="preserve">BHR33</x:t>
  </x:si>
  <x:si>
    <x:t xml:space="preserve">MAC33</x:t>
  </x:si>
  <x:si>
    <x:t xml:space="preserve">XY33</x:t>
  </x:si>
  <x:si>
    <x:t xml:space="preserve">Emp34</x:t>
  </x:si>
  <x:si>
    <x:t xml:space="preserve">User34</x:t>
  </x:si>
  <x:si>
    <x:t xml:space="preserve">emp34@company.com</x:t>
  </x:si>
  <x:si>
    <x:t xml:space="preserve">emp34</x:t>
  </x:si>
  <x:si>
    <x:t xml:space="preserve">BHR34</x:t>
  </x:si>
  <x:si>
    <x:t xml:space="preserve">MAC34</x:t>
  </x:si>
  <x:si>
    <x:t xml:space="preserve">XY34</x:t>
  </x:si>
  <x:si>
    <x:t xml:space="preserve">Emp35</x:t>
  </x:si>
  <x:si>
    <x:t xml:space="preserve">User35</x:t>
  </x:si>
  <x:si>
    <x:t xml:space="preserve">emp35@company.com</x:t>
  </x:si>
  <x:si>
    <x:t xml:space="preserve">emp35</x:t>
  </x:si>
  <x:si>
    <x:t xml:space="preserve">BHR35</x:t>
  </x:si>
  <x:si>
    <x:t xml:space="preserve">MAC35</x:t>
  </x:si>
  <x:si>
    <x:t xml:space="preserve">XY35</x:t>
  </x:si>
  <x:si>
    <x:t xml:space="preserve">Emp36</x:t>
  </x:si>
  <x:si>
    <x:t xml:space="preserve">User36</x:t>
  </x:si>
  <x:si>
    <x:t xml:space="preserve">emp36@company.com</x:t>
  </x:si>
  <x:si>
    <x:t xml:space="preserve">emp36</x:t>
  </x:si>
  <x:si>
    <x:t xml:space="preserve">BHR36</x:t>
  </x:si>
  <x:si>
    <x:t xml:space="preserve">MAC36</x:t>
  </x:si>
  <x:si>
    <x:t xml:space="preserve">XY36</x:t>
  </x:si>
  <x:si>
    <x:t xml:space="preserve">Emp37</x:t>
  </x:si>
  <x:si>
    <x:t xml:space="preserve">User37</x:t>
  </x:si>
  <x:si>
    <x:t xml:space="preserve">emp37@company.com</x:t>
  </x:si>
  <x:si>
    <x:t xml:space="preserve">emp37</x:t>
  </x:si>
  <x:si>
    <x:t xml:space="preserve">BHR37</x:t>
  </x:si>
  <x:si>
    <x:t xml:space="preserve">MAC37</x:t>
  </x:si>
  <x:si>
    <x:t xml:space="preserve">XY37</x:t>
  </x:si>
  <x:si>
    <x:t xml:space="preserve">Emp38</x:t>
  </x:si>
  <x:si>
    <x:t xml:space="preserve">User38</x:t>
  </x:si>
  <x:si>
    <x:t xml:space="preserve">emp38@company.com</x:t>
  </x:si>
  <x:si>
    <x:t xml:space="preserve">emp38</x:t>
  </x:si>
  <x:si>
    <x:t xml:space="preserve">BHR38</x:t>
  </x:si>
  <x:si>
    <x:t xml:space="preserve">MAC38</x:t>
  </x:si>
  <x:si>
    <x:t xml:space="preserve">XY38</x:t>
  </x:si>
  <x:si>
    <x:t xml:space="preserve">Emp39</x:t>
  </x:si>
  <x:si>
    <x:t xml:space="preserve">User39</x:t>
  </x:si>
  <x:si>
    <x:t xml:space="preserve">emp39@company.com</x:t>
  </x:si>
  <x:si>
    <x:t xml:space="preserve">emp39</x:t>
  </x:si>
  <x:si>
    <x:t xml:space="preserve">BHR39</x:t>
  </x:si>
  <x:si>
    <x:t xml:space="preserve">MAC39</x:t>
  </x:si>
  <x:si>
    <x:t xml:space="preserve">XY39</x:t>
  </x:si>
  <x:si>
    <x:t xml:space="preserve">Emp40</x:t>
  </x:si>
  <x:si>
    <x:t xml:space="preserve">User40</x:t>
  </x:si>
  <x:si>
    <x:t xml:space="preserve">emp40@company.com</x:t>
  </x:si>
  <x:si>
    <x:t xml:space="preserve">emp40</x:t>
  </x:si>
  <x:si>
    <x:t xml:space="preserve">BHR40</x:t>
  </x:si>
  <x:si>
    <x:t xml:space="preserve">MAC40</x:t>
  </x:si>
  <x:si>
    <x:t xml:space="preserve">XY40</x:t>
  </x:si>
  <x:si>
    <x:t xml:space="preserve">Emp41</x:t>
  </x:si>
  <x:si>
    <x:t xml:space="preserve">User41</x:t>
  </x:si>
  <x:si>
    <x:t xml:space="preserve">emp41@company.com</x:t>
  </x:si>
  <x:si>
    <x:t xml:space="preserve">emp41</x:t>
  </x:si>
  <x:si>
    <x:t xml:space="preserve">BHR41</x:t>
  </x:si>
  <x:si>
    <x:t xml:space="preserve">MAC41</x:t>
  </x:si>
  <x:si>
    <x:t xml:space="preserve">XY41</x:t>
  </x:si>
  <x:si>
    <x:t xml:space="preserve">Emp42</x:t>
  </x:si>
  <x:si>
    <x:t xml:space="preserve">User42</x:t>
  </x:si>
  <x:si>
    <x:t xml:space="preserve">emp42@company.com</x:t>
  </x:si>
  <x:si>
    <x:t xml:space="preserve">emp42</x:t>
  </x:si>
  <x:si>
    <x:t xml:space="preserve">BHR42</x:t>
  </x:si>
  <x:si>
    <x:t xml:space="preserve">MAC42</x:t>
  </x:si>
  <x:si>
    <x:t xml:space="preserve">XY42</x:t>
  </x:si>
  <x:si>
    <x:t xml:space="preserve">Emp43</x:t>
  </x:si>
  <x:si>
    <x:t xml:space="preserve">User43</x:t>
  </x:si>
  <x:si>
    <x:t xml:space="preserve">emp43@company.com</x:t>
  </x:si>
  <x:si>
    <x:t xml:space="preserve">emp43</x:t>
  </x:si>
  <x:si>
    <x:t xml:space="preserve">BHR43</x:t>
  </x:si>
  <x:si>
    <x:t xml:space="preserve">MAC43</x:t>
  </x:si>
  <x:si>
    <x:t xml:space="preserve">XY43</x:t>
  </x:si>
  <x:si>
    <x:t xml:space="preserve">Emp44</x:t>
  </x:si>
  <x:si>
    <x:t xml:space="preserve">User44</x:t>
  </x:si>
  <x:si>
    <x:t xml:space="preserve">emp44@company.com</x:t>
  </x:si>
  <x:si>
    <x:t xml:space="preserve">emp44</x:t>
  </x:si>
  <x:si>
    <x:t xml:space="preserve">BHR44</x:t>
  </x:si>
  <x:si>
    <x:t xml:space="preserve">MAC44</x:t>
  </x:si>
  <x:si>
    <x:t xml:space="preserve">XY44</x:t>
  </x:si>
  <x:si>
    <x:t xml:space="preserve">Emp45</x:t>
  </x:si>
  <x:si>
    <x:t xml:space="preserve">User45</x:t>
  </x:si>
  <x:si>
    <x:t xml:space="preserve">emp45@company.com</x:t>
  </x:si>
  <x:si>
    <x:t xml:space="preserve">emp45</x:t>
  </x:si>
  <x:si>
    <x:t xml:space="preserve">BHR45</x:t>
  </x:si>
  <x:si>
    <x:t xml:space="preserve">MAC45</x:t>
  </x:si>
  <x:si>
    <x:t xml:space="preserve">XY45</x:t>
  </x:si>
  <x:si>
    <x:t xml:space="preserve">Emp46</x:t>
  </x:si>
  <x:si>
    <x:t xml:space="preserve">User46</x:t>
  </x:si>
  <x:si>
    <x:t xml:space="preserve">emp46@company.com</x:t>
  </x:si>
  <x:si>
    <x:t xml:space="preserve">emp46</x:t>
  </x:si>
  <x:si>
    <x:t xml:space="preserve">BHR46</x:t>
  </x:si>
  <x:si>
    <x:t xml:space="preserve">MAC46</x:t>
  </x:si>
  <x:si>
    <x:t xml:space="preserve">XY46</x:t>
  </x:si>
  <x:si>
    <x:t xml:space="preserve">Emp47</x:t>
  </x:si>
  <x:si>
    <x:t xml:space="preserve">User47</x:t>
  </x:si>
  <x:si>
    <x:t xml:space="preserve">emp47@company.com</x:t>
  </x:si>
  <x:si>
    <x:t xml:space="preserve">emp47</x:t>
  </x:si>
  <x:si>
    <x:t xml:space="preserve">BHR47</x:t>
  </x:si>
  <x:si>
    <x:t xml:space="preserve">MAC47</x:t>
  </x:si>
  <x:si>
    <x:t xml:space="preserve">XY47</x:t>
  </x:si>
  <x:si>
    <x:t xml:space="preserve">Emp48</x:t>
  </x:si>
  <x:si>
    <x:t xml:space="preserve">User48</x:t>
  </x:si>
  <x:si>
    <x:t xml:space="preserve">emp48@company.com</x:t>
  </x:si>
  <x:si>
    <x:t xml:space="preserve">emp48</x:t>
  </x:si>
  <x:si>
    <x:t xml:space="preserve">BHR48</x:t>
  </x:si>
  <x:si>
    <x:t xml:space="preserve">MAC48</x:t>
  </x:si>
  <x:si>
    <x:t xml:space="preserve">XY48</x:t>
  </x:si>
  <x:si>
    <x:t xml:space="preserve">Emp49</x:t>
  </x:si>
  <x:si>
    <x:t xml:space="preserve">User49</x:t>
  </x:si>
  <x:si>
    <x:t xml:space="preserve">emp49@company.com</x:t>
  </x:si>
  <x:si>
    <x:t xml:space="preserve">emp49</x:t>
  </x:si>
  <x:si>
    <x:t xml:space="preserve">BHR49</x:t>
  </x:si>
  <x:si>
    <x:t xml:space="preserve">MAC49</x:t>
  </x:si>
  <x:si>
    <x:t xml:space="preserve">XY49</x:t>
  </x:si>
  <x:si>
    <x:t xml:space="preserve">Emp50</x:t>
  </x:si>
  <x:si>
    <x:t xml:space="preserve">User50</x:t>
  </x:si>
  <x:si>
    <x:t xml:space="preserve">emp50@company.com</x:t>
  </x:si>
  <x:si>
    <x:t xml:space="preserve">emp50</x:t>
  </x:si>
  <x:si>
    <x:t xml:space="preserve">BHR50</x:t>
  </x:si>
  <x:si>
    <x:t xml:space="preserve">MAC50</x:t>
  </x:si>
  <x:si>
    <x:t xml:space="preserve">XY50</x:t>
  </x:si>
  <x:si>
    <x:t xml:space="preserve">Emp51</x:t>
  </x:si>
  <x:si>
    <x:t xml:space="preserve">User51</x:t>
  </x:si>
  <x:si>
    <x:t xml:space="preserve">emp51@company.com</x:t>
  </x:si>
  <x:si>
    <x:t xml:space="preserve">emp51</x:t>
  </x:si>
  <x:si>
    <x:t xml:space="preserve">BHR51</x:t>
  </x:si>
  <x:si>
    <x:t xml:space="preserve">MAC51</x:t>
  </x:si>
  <x:si>
    <x:t xml:space="preserve">XY51</x:t>
  </x:si>
  <x:si>
    <x:t xml:space="preserve">Emp52</x:t>
  </x:si>
  <x:si>
    <x:t xml:space="preserve">User52</x:t>
  </x:si>
  <x:si>
    <x:t xml:space="preserve">emp52@company.com</x:t>
  </x:si>
  <x:si>
    <x:t xml:space="preserve">emp52</x:t>
  </x:si>
  <x:si>
    <x:t xml:space="preserve">BHR52</x:t>
  </x:si>
  <x:si>
    <x:t xml:space="preserve">MAC52</x:t>
  </x:si>
  <x:si>
    <x:t xml:space="preserve">XY52</x:t>
  </x:si>
  <x:si>
    <x:t xml:space="preserve">Emp53</x:t>
  </x:si>
  <x:si>
    <x:t xml:space="preserve">User53</x:t>
  </x:si>
  <x:si>
    <x:t xml:space="preserve">emp53@company.com</x:t>
  </x:si>
  <x:si>
    <x:t xml:space="preserve">emp53</x:t>
  </x:si>
  <x:si>
    <x:t xml:space="preserve">BHR53</x:t>
  </x:si>
  <x:si>
    <x:t xml:space="preserve">MAC53</x:t>
  </x:si>
  <x:si>
    <x:t xml:space="preserve">XY53</x:t>
  </x:si>
  <x:si>
    <x:t xml:space="preserve">Emp54</x:t>
  </x:si>
  <x:si>
    <x:t xml:space="preserve">User54</x:t>
  </x:si>
  <x:si>
    <x:t xml:space="preserve">emp54@company.com</x:t>
  </x:si>
  <x:si>
    <x:t xml:space="preserve">emp54</x:t>
  </x:si>
  <x:si>
    <x:t xml:space="preserve">BHR54</x:t>
  </x:si>
  <x:si>
    <x:t xml:space="preserve">MAC54</x:t>
  </x:si>
  <x:si>
    <x:t xml:space="preserve">XY54</x:t>
  </x:si>
  <x:si>
    <x:t xml:space="preserve">Emp55</x:t>
  </x:si>
  <x:si>
    <x:t xml:space="preserve">User55</x:t>
  </x:si>
  <x:si>
    <x:t xml:space="preserve">emp55@company.com</x:t>
  </x:si>
  <x:si>
    <x:t xml:space="preserve">emp55</x:t>
  </x:si>
  <x:si>
    <x:t xml:space="preserve">BHR55</x:t>
  </x:si>
  <x:si>
    <x:t xml:space="preserve">MAC55</x:t>
  </x:si>
  <x:si>
    <x:t xml:space="preserve">XY55</x:t>
  </x:si>
  <x:si>
    <x:t xml:space="preserve">Emp56</x:t>
  </x:si>
  <x:si>
    <x:t xml:space="preserve">User56</x:t>
  </x:si>
  <x:si>
    <x:t xml:space="preserve">emp56@company.com</x:t>
  </x:si>
  <x:si>
    <x:t xml:space="preserve">emp56</x:t>
  </x:si>
  <x:si>
    <x:t xml:space="preserve">BHR56</x:t>
  </x:si>
  <x:si>
    <x:t xml:space="preserve">MAC56</x:t>
  </x:si>
  <x:si>
    <x:t xml:space="preserve">XY56</x:t>
  </x:si>
  <x:si>
    <x:t xml:space="preserve">Emp57</x:t>
  </x:si>
  <x:si>
    <x:t xml:space="preserve">User57</x:t>
  </x:si>
  <x:si>
    <x:t xml:space="preserve">emp57@company.com</x:t>
  </x:si>
  <x:si>
    <x:t xml:space="preserve">emp57</x:t>
  </x:si>
  <x:si>
    <x:t xml:space="preserve">BHR57</x:t>
  </x:si>
  <x:si>
    <x:t xml:space="preserve">MAC57</x:t>
  </x:si>
  <x:si>
    <x:t xml:space="preserve">XY57</x:t>
  </x:si>
  <x:si>
    <x:t xml:space="preserve">Emp58</x:t>
  </x:si>
  <x:si>
    <x:t xml:space="preserve">User58</x:t>
  </x:si>
  <x:si>
    <x:t xml:space="preserve">emp58</x:t>
  </x:si>
  <x:si>
    <x:t xml:space="preserve">BHR58</x:t>
  </x:si>
  <x:si>
    <x:t xml:space="preserve">MAC58</x:t>
  </x:si>
  <x:si>
    <x:t xml:space="preserve">XY58</x:t>
  </x:si>
  <x:si>
    <x:t xml:space="preserve">Emp59</x:t>
  </x:si>
  <x:si>
    <x:t xml:space="preserve">User59</x:t>
  </x:si>
  <x:si>
    <x:t xml:space="preserve">emp59@company.com</x:t>
  </x:si>
  <x:si>
    <x:t xml:space="preserve">emp59</x:t>
  </x:si>
  <x:si>
    <x:t xml:space="preserve">BHR59</x:t>
  </x:si>
  <x:si>
    <x:t xml:space="preserve">MAC59</x:t>
  </x:si>
  <x:si>
    <x:t xml:space="preserve">XY59</x:t>
  </x:si>
  <x:si>
    <x:t xml:space="preserve">Emp60</x:t>
  </x:si>
  <x:si>
    <x:t xml:space="preserve">User60</x:t>
  </x:si>
  <x:si>
    <x:t xml:space="preserve">emp60@company.com</x:t>
  </x:si>
  <x:si>
    <x:t xml:space="preserve">emp60</x:t>
  </x:si>
  <x:si>
    <x:t xml:space="preserve">BHR60</x:t>
  </x:si>
  <x:si>
    <x:t xml:space="preserve">MAC60</x:t>
  </x:si>
  <x:si>
    <x:t xml:space="preserve">XY60</x:t>
  </x:si>
  <x:si>
    <x:t xml:space="preserve">Emp61</x:t>
  </x:si>
  <x:si>
    <x:t xml:space="preserve">User61</x:t>
  </x:si>
  <x:si>
    <x:t xml:space="preserve">emp61@company.com</x:t>
  </x:si>
  <x:si>
    <x:t xml:space="preserve">emp61</x:t>
  </x:si>
  <x:si>
    <x:t xml:space="preserve">BHR61</x:t>
  </x:si>
  <x:si>
    <x:t xml:space="preserve">MAC61</x:t>
  </x:si>
  <x:si>
    <x:t xml:space="preserve">XY61</x:t>
  </x:si>
  <x:si>
    <x:t xml:space="preserve">Emp62</x:t>
  </x:si>
  <x:si>
    <x:t xml:space="preserve">User62</x:t>
  </x:si>
  <x:si>
    <x:t xml:space="preserve">emp62@company.com</x:t>
  </x:si>
  <x:si>
    <x:t xml:space="preserve">emp62</x:t>
  </x:si>
  <x:si>
    <x:t xml:space="preserve">BHR62</x:t>
  </x:si>
  <x:si>
    <x:t xml:space="preserve">MAC62</x:t>
  </x:si>
  <x:si>
    <x:t xml:space="preserve">XY62</x:t>
  </x:si>
  <x:si>
    <x:t xml:space="preserve">Emp63</x:t>
  </x:si>
  <x:si>
    <x:t xml:space="preserve">User63</x:t>
  </x:si>
  <x:si>
    <x:t xml:space="preserve">emp63@company.com</x:t>
  </x:si>
  <x:si>
    <x:t xml:space="preserve">emp63</x:t>
  </x:si>
  <x:si>
    <x:t xml:space="preserve">BHR63</x:t>
  </x:si>
  <x:si>
    <x:t xml:space="preserve">MAC63</x:t>
  </x:si>
  <x:si>
    <x:t xml:space="preserve">XY63</x:t>
  </x:si>
  <x:si>
    <x:t xml:space="preserve">Emp64</x:t>
  </x:si>
  <x:si>
    <x:t xml:space="preserve">User64</x:t>
  </x:si>
  <x:si>
    <x:t xml:space="preserve">emp64@company.com</x:t>
  </x:si>
  <x:si>
    <x:t xml:space="preserve">emp64</x:t>
  </x:si>
  <x:si>
    <x:t xml:space="preserve">BHR64</x:t>
  </x:si>
  <x:si>
    <x:t xml:space="preserve">MAC64</x:t>
  </x:si>
  <x:si>
    <x:t xml:space="preserve">XY64</x:t>
  </x:si>
  <x:si>
    <x:t xml:space="preserve">Emp65</x:t>
  </x:si>
  <x:si>
    <x:t xml:space="preserve">User65</x:t>
  </x:si>
  <x:si>
    <x:t xml:space="preserve">emp65@company.com</x:t>
  </x:si>
  <x:si>
    <x:t xml:space="preserve">emp65</x:t>
  </x:si>
  <x:si>
    <x:t xml:space="preserve">BHR65</x:t>
  </x:si>
  <x:si>
    <x:t xml:space="preserve">MAC65</x:t>
  </x:si>
  <x:si>
    <x:t xml:space="preserve">XY65</x:t>
  </x:si>
  <x:si>
    <x:t xml:space="preserve">Emp66</x:t>
  </x:si>
  <x:si>
    <x:t xml:space="preserve">User66</x:t>
  </x:si>
  <x:si>
    <x:t xml:space="preserve">emp66@company.com</x:t>
  </x:si>
  <x:si>
    <x:t xml:space="preserve">emp66</x:t>
  </x:si>
  <x:si>
    <x:t xml:space="preserve">BHR66</x:t>
  </x:si>
  <x:si>
    <x:t xml:space="preserve">MAC66</x:t>
  </x:si>
  <x:si>
    <x:t xml:space="preserve">XY66</x:t>
  </x:si>
  <x:si>
    <x:t xml:space="preserve">Emp67</x:t>
  </x:si>
  <x:si>
    <x:t xml:space="preserve">User67</x:t>
  </x:si>
  <x:si>
    <x:t xml:space="preserve">emp67@company.com</x:t>
  </x:si>
  <x:si>
    <x:t xml:space="preserve">emp67</x:t>
  </x:si>
  <x:si>
    <x:t xml:space="preserve">BHR67</x:t>
  </x:si>
  <x:si>
    <x:t xml:space="preserve">MAC67</x:t>
  </x:si>
  <x:si>
    <x:t xml:space="preserve">XY67</x:t>
  </x:si>
  <x:si>
    <x:t xml:space="preserve">Emp68</x:t>
  </x:si>
  <x:si>
    <x:t xml:space="preserve">User68</x:t>
  </x:si>
  <x:si>
    <x:t xml:space="preserve">emp68@company.com</x:t>
  </x:si>
  <x:si>
    <x:t xml:space="preserve">emp68</x:t>
  </x:si>
  <x:si>
    <x:t xml:space="preserve">BHR68</x:t>
  </x:si>
  <x:si>
    <x:t xml:space="preserve">MAC68</x:t>
  </x:si>
  <x:si>
    <x:t xml:space="preserve">XY68</x:t>
  </x:si>
  <x:si>
    <x:t xml:space="preserve">Emp69</x:t>
  </x:si>
  <x:si>
    <x:t xml:space="preserve">User69</x:t>
  </x:si>
  <x:si>
    <x:t xml:space="preserve">emp69@company.com</x:t>
  </x:si>
  <x:si>
    <x:t xml:space="preserve">emp69</x:t>
  </x:si>
  <x:si>
    <x:t xml:space="preserve">BHR69</x:t>
  </x:si>
  <x:si>
    <x:t xml:space="preserve">MAC69</x:t>
  </x:si>
  <x:si>
    <x:t xml:space="preserve">XY69</x:t>
  </x:si>
  <x:si>
    <x:t xml:space="preserve">Emp70</x:t>
  </x:si>
  <x:si>
    <x:t xml:space="preserve">User70</x:t>
  </x:si>
  <x:si>
    <x:t xml:space="preserve">emp70@company.com</x:t>
  </x:si>
  <x:si>
    <x:t xml:space="preserve">emp70</x:t>
  </x:si>
  <x:si>
    <x:t xml:space="preserve">BHR70</x:t>
  </x:si>
  <x:si>
    <x:t xml:space="preserve">MAC70</x:t>
  </x:si>
  <x:si>
    <x:t xml:space="preserve">XY70</x:t>
  </x:si>
  <x:si>
    <x:t xml:space="preserve">Emp71</x:t>
  </x:si>
  <x:si>
    <x:t xml:space="preserve">User71</x:t>
  </x:si>
  <x:si>
    <x:t xml:space="preserve">emp71@company.com</x:t>
  </x:si>
  <x:si>
    <x:t xml:space="preserve">emp71</x:t>
  </x:si>
  <x:si>
    <x:t xml:space="preserve">BHR71</x:t>
  </x:si>
  <x:si>
    <x:t xml:space="preserve">MAC71</x:t>
  </x:si>
  <x:si>
    <x:t xml:space="preserve">XY71</x:t>
  </x:si>
  <x:si>
    <x:t xml:space="preserve">Emp72</x:t>
  </x:si>
  <x:si>
    <x:t xml:space="preserve">User72</x:t>
  </x:si>
  <x:si>
    <x:t xml:space="preserve">emp72@company.com</x:t>
  </x:si>
  <x:si>
    <x:t xml:space="preserve">emp72</x:t>
  </x:si>
  <x:si>
    <x:t xml:space="preserve">BHR72</x:t>
  </x:si>
  <x:si>
    <x:t xml:space="preserve">MAC72</x:t>
  </x:si>
  <x:si>
    <x:t xml:space="preserve">XY72</x:t>
  </x:si>
  <x:si>
    <x:t xml:space="preserve">Emp73</x:t>
  </x:si>
  <x:si>
    <x:t xml:space="preserve">User73</x:t>
  </x:si>
  <x:si>
    <x:t xml:space="preserve">emp73@company.com</x:t>
  </x:si>
  <x:si>
    <x:t xml:space="preserve">emp73</x:t>
  </x:si>
  <x:si>
    <x:t xml:space="preserve">BHR73</x:t>
  </x:si>
  <x:si>
    <x:t xml:space="preserve">MAC73</x:t>
  </x:si>
  <x:si>
    <x:t xml:space="preserve">XY73</x:t>
  </x:si>
  <x:si>
    <x:t xml:space="preserve">Emp74</x:t>
  </x:si>
  <x:si>
    <x:t xml:space="preserve">User74</x:t>
  </x:si>
  <x:si>
    <x:t xml:space="preserve">emp74@company.com</x:t>
  </x:si>
  <x:si>
    <x:t xml:space="preserve">emp74</x:t>
  </x:si>
  <x:si>
    <x:t xml:space="preserve">BHR74</x:t>
  </x:si>
  <x:si>
    <x:t xml:space="preserve">MAC74</x:t>
  </x:si>
  <x:si>
    <x:t xml:space="preserve">XY74</x:t>
  </x:si>
  <x:si>
    <x:t xml:space="preserve">Emp75</x:t>
  </x:si>
  <x:si>
    <x:t xml:space="preserve">User75</x:t>
  </x:si>
  <x:si>
    <x:t xml:space="preserve">emp75@company.com</x:t>
  </x:si>
  <x:si>
    <x:t xml:space="preserve">emp75</x:t>
  </x:si>
  <x:si>
    <x:t xml:space="preserve">BHR75</x:t>
  </x:si>
  <x:si>
    <x:t xml:space="preserve">MAC75</x:t>
  </x:si>
  <x:si>
    <x:t xml:space="preserve">XY75</x:t>
  </x:si>
  <x:si>
    <x:t xml:space="preserve">Emp76</x:t>
  </x:si>
  <x:si>
    <x:t xml:space="preserve">User76</x:t>
  </x:si>
  <x:si>
    <x:t xml:space="preserve">emp76@company.com</x:t>
  </x:si>
  <x:si>
    <x:t xml:space="preserve">emp76</x:t>
  </x:si>
  <x:si>
    <x:t xml:space="preserve">BHR76</x:t>
  </x:si>
  <x:si>
    <x:t xml:space="preserve">MAC76</x:t>
  </x:si>
  <x:si>
    <x:t xml:space="preserve">XY76</x:t>
  </x:si>
  <x:si>
    <x:t xml:space="preserve">Emp77</x:t>
  </x:si>
  <x:si>
    <x:t xml:space="preserve">User77</x:t>
  </x:si>
  <x:si>
    <x:t xml:space="preserve">emp77@company.com</x:t>
  </x:si>
  <x:si>
    <x:t xml:space="preserve">emp77</x:t>
  </x:si>
  <x:si>
    <x:t xml:space="preserve">BHR77</x:t>
  </x:si>
  <x:si>
    <x:t xml:space="preserve">MAC77</x:t>
  </x:si>
  <x:si>
    <x:t xml:space="preserve">XY77</x:t>
  </x:si>
  <x:si>
    <x:t xml:space="preserve">Emp78</x:t>
  </x:si>
  <x:si>
    <x:t xml:space="preserve">User78</x:t>
  </x:si>
  <x:si>
    <x:t xml:space="preserve">emp78@company.com</x:t>
  </x:si>
  <x:si>
    <x:t xml:space="preserve">emp78</x:t>
  </x:si>
  <x:si>
    <x:t xml:space="preserve">BHR78</x:t>
  </x:si>
  <x:si>
    <x:t xml:space="preserve">MAC78</x:t>
  </x:si>
  <x:si>
    <x:t xml:space="preserve">XY78</x:t>
  </x:si>
  <x:si>
    <x:t xml:space="preserve">Emp79</x:t>
  </x:si>
  <x:si>
    <x:t xml:space="preserve">User79</x:t>
  </x:si>
  <x:si>
    <x:t xml:space="preserve">emp79@company.com</x:t>
  </x:si>
  <x:si>
    <x:t xml:space="preserve">emp79</x:t>
  </x:si>
  <x:si>
    <x:t xml:space="preserve">BHR79</x:t>
  </x:si>
  <x:si>
    <x:t xml:space="preserve">MAC79</x:t>
  </x:si>
  <x:si>
    <x:t xml:space="preserve">XY79</x:t>
  </x:si>
  <x:si>
    <x:t xml:space="preserve">Emp80</x:t>
  </x:si>
  <x:si>
    <x:t xml:space="preserve">User80</x:t>
  </x:si>
  <x:si>
    <x:t xml:space="preserve">emp80@company.com</x:t>
  </x:si>
  <x:si>
    <x:t xml:space="preserve">emp80</x:t>
  </x:si>
  <x:si>
    <x:t xml:space="preserve">BHR80</x:t>
  </x:si>
  <x:si>
    <x:t xml:space="preserve">MAC80</x:t>
  </x:si>
  <x:si>
    <x:t xml:space="preserve">XY80</x:t>
  </x:si>
  <x:si>
    <x:t xml:space="preserve">Emp81</x:t>
  </x:si>
  <x:si>
    <x:t xml:space="preserve">User81</x:t>
  </x:si>
  <x:si>
    <x:t xml:space="preserve">emp81@company.com</x:t>
  </x:si>
  <x:si>
    <x:t xml:space="preserve">emp81</x:t>
  </x:si>
  <x:si>
    <x:t xml:space="preserve">BHR81</x:t>
  </x:si>
  <x:si>
    <x:t xml:space="preserve">MAC81</x:t>
  </x:si>
  <x:si>
    <x:t xml:space="preserve">XY81</x:t>
  </x:si>
  <x:si>
    <x:t xml:space="preserve">Emp82</x:t>
  </x:si>
  <x:si>
    <x:t xml:space="preserve">User82</x:t>
  </x:si>
  <x:si>
    <x:t xml:space="preserve">emp82@company.com</x:t>
  </x:si>
  <x:si>
    <x:t xml:space="preserve">emp82</x:t>
  </x:si>
  <x:si>
    <x:t xml:space="preserve">BHR82</x:t>
  </x:si>
  <x:si>
    <x:t xml:space="preserve">MAC82</x:t>
  </x:si>
  <x:si>
    <x:t xml:space="preserve">XY82</x:t>
  </x:si>
  <x:si>
    <x:t xml:space="preserve">Emp83</x:t>
  </x:si>
  <x:si>
    <x:t xml:space="preserve">User83</x:t>
  </x:si>
  <x:si>
    <x:t xml:space="preserve">emp83@company.com</x:t>
  </x:si>
  <x:si>
    <x:t xml:space="preserve">emp83</x:t>
  </x:si>
  <x:si>
    <x:t xml:space="preserve">BHR83</x:t>
  </x:si>
  <x:si>
    <x:t xml:space="preserve">MAC83</x:t>
  </x:si>
  <x:si>
    <x:t xml:space="preserve">XY83</x:t>
  </x:si>
  <x:si>
    <x:t xml:space="preserve">Emp84</x:t>
  </x:si>
  <x:si>
    <x:t xml:space="preserve">User84</x:t>
  </x:si>
  <x:si>
    <x:t xml:space="preserve">emp84@company.com</x:t>
  </x:si>
  <x:si>
    <x:t xml:space="preserve">emp84</x:t>
  </x:si>
  <x:si>
    <x:t xml:space="preserve">BHR84</x:t>
  </x:si>
  <x:si>
    <x:t xml:space="preserve">MAC84</x:t>
  </x:si>
  <x:si>
    <x:t xml:space="preserve">XY84</x:t>
  </x:si>
  <x:si>
    <x:t xml:space="preserve">Emp85</x:t>
  </x:si>
  <x:si>
    <x:t xml:space="preserve">User85</x:t>
  </x:si>
  <x:si>
    <x:t xml:space="preserve">emp85@company.com</x:t>
  </x:si>
  <x:si>
    <x:t xml:space="preserve">emp85</x:t>
  </x:si>
  <x:si>
    <x:t xml:space="preserve">BHR85</x:t>
  </x:si>
  <x:si>
    <x:t xml:space="preserve">MAC85</x:t>
  </x:si>
  <x:si>
    <x:t xml:space="preserve">XY85</x:t>
  </x:si>
  <x:si>
    <x:t xml:space="preserve">Emp86</x:t>
  </x:si>
  <x:si>
    <x:t xml:space="preserve">User86</x:t>
  </x:si>
  <x:si>
    <x:t xml:space="preserve">emp86@company.com</x:t>
  </x:si>
  <x:si>
    <x:t xml:space="preserve">emp86</x:t>
  </x:si>
  <x:si>
    <x:t xml:space="preserve">BHR86</x:t>
  </x:si>
  <x:si>
    <x:t xml:space="preserve">MAC86</x:t>
  </x:si>
  <x:si>
    <x:t xml:space="preserve">XY86</x:t>
  </x:si>
  <x:si>
    <x:t xml:space="preserve">Emp87</x:t>
  </x:si>
  <x:si>
    <x:t xml:space="preserve">User87</x:t>
  </x:si>
  <x:si>
    <x:t xml:space="preserve">emp87</x:t>
  </x:si>
  <x:si>
    <x:t xml:space="preserve">BHR87</x:t>
  </x:si>
  <x:si>
    <x:t xml:space="preserve">MAC87</x:t>
  </x:si>
  <x:si>
    <x:t xml:space="preserve">XY87</x:t>
  </x:si>
  <x:si>
    <x:t xml:space="preserve">Emp88</x:t>
  </x:si>
  <x:si>
    <x:t xml:space="preserve">User88</x:t>
  </x:si>
  <x:si>
    <x:t xml:space="preserve">emp88@company.com</x:t>
  </x:si>
  <x:si>
    <x:t xml:space="preserve">emp88</x:t>
  </x:si>
  <x:si>
    <x:t xml:space="preserve">BHR88</x:t>
  </x:si>
  <x:si>
    <x:t xml:space="preserve">MAC88</x:t>
  </x:si>
  <x:si>
    <x:t xml:space="preserve">XY88</x:t>
  </x:si>
  <x:si>
    <x:t xml:space="preserve">Emp89</x:t>
  </x:si>
  <x:si>
    <x:t xml:space="preserve">User89</x:t>
  </x:si>
  <x:si>
    <x:t xml:space="preserve">emp89@company.com</x:t>
  </x:si>
  <x:si>
    <x:t xml:space="preserve">emp89</x:t>
  </x:si>
  <x:si>
    <x:t xml:space="preserve">BHR89</x:t>
  </x:si>
  <x:si>
    <x:t xml:space="preserve">MAC89</x:t>
  </x:si>
  <x:si>
    <x:t xml:space="preserve">XY89</x:t>
  </x:si>
  <x:si>
    <x:t xml:space="preserve">Emp90</x:t>
  </x:si>
  <x:si>
    <x:t xml:space="preserve">User90</x:t>
  </x:si>
  <x:si>
    <x:t xml:space="preserve">emp90@company.com</x:t>
  </x:si>
  <x:si>
    <x:t xml:space="preserve">emp90</x:t>
  </x:si>
  <x:si>
    <x:t xml:space="preserve">BHR90</x:t>
  </x:si>
  <x:si>
    <x:t xml:space="preserve">MAC90</x:t>
  </x:si>
  <x:si>
    <x:t xml:space="preserve">XY90</x:t>
  </x:si>
  <x:si>
    <x:t xml:space="preserve">Emp91</x:t>
  </x:si>
  <x:si>
    <x:t xml:space="preserve">User91</x:t>
  </x:si>
  <x:si>
    <x:t xml:space="preserve">emp91@company.com</x:t>
  </x:si>
  <x:si>
    <x:t xml:space="preserve">emp91</x:t>
  </x:si>
  <x:si>
    <x:t xml:space="preserve">BHR91</x:t>
  </x:si>
  <x:si>
    <x:t xml:space="preserve">MAC91</x:t>
  </x:si>
  <x:si>
    <x:t xml:space="preserve">XY91</x:t>
  </x:si>
  <x:si>
    <x:t xml:space="preserve">Emp92</x:t>
  </x:si>
  <x:si>
    <x:t xml:space="preserve">User92</x:t>
  </x:si>
  <x:si>
    <x:t xml:space="preserve">emp92@company.com</x:t>
  </x:si>
  <x:si>
    <x:t xml:space="preserve">emp92</x:t>
  </x:si>
  <x:si>
    <x:t xml:space="preserve">BHR92</x:t>
  </x:si>
  <x:si>
    <x:t xml:space="preserve">MAC92</x:t>
  </x:si>
  <x:si>
    <x:t xml:space="preserve">XY92</x:t>
  </x:si>
  <x:si>
    <x:t xml:space="preserve">Emp93</x:t>
  </x:si>
  <x:si>
    <x:t xml:space="preserve">User93</x:t>
  </x:si>
  <x:si>
    <x:t xml:space="preserve">emp93@company.com</x:t>
  </x:si>
  <x:si>
    <x:t xml:space="preserve">emp93</x:t>
  </x:si>
  <x:si>
    <x:t xml:space="preserve">BHR93</x:t>
  </x:si>
  <x:si>
    <x:t xml:space="preserve">MAC93</x:t>
  </x:si>
  <x:si>
    <x:t xml:space="preserve">XY93</x:t>
  </x:si>
  <x:si>
    <x:t xml:space="preserve">Emp94</x:t>
  </x:si>
  <x:si>
    <x:t xml:space="preserve">User94</x:t>
  </x:si>
  <x:si>
    <x:t xml:space="preserve">emp94@company.com</x:t>
  </x:si>
  <x:si>
    <x:t xml:space="preserve">emp94</x:t>
  </x:si>
  <x:si>
    <x:t xml:space="preserve">BHR94</x:t>
  </x:si>
  <x:si>
    <x:t xml:space="preserve">MAC94</x:t>
  </x:si>
  <x:si>
    <x:t xml:space="preserve">XY94</x:t>
  </x:si>
  <x:si>
    <x:t xml:space="preserve">Emp95</x:t>
  </x:si>
  <x:si>
    <x:t xml:space="preserve">User95</x:t>
  </x:si>
  <x:si>
    <x:t xml:space="preserve">emp95@company.com</x:t>
  </x:si>
  <x:si>
    <x:t xml:space="preserve">emp95</x:t>
  </x:si>
  <x:si>
    <x:t xml:space="preserve">BHR95</x:t>
  </x:si>
  <x:si>
    <x:t xml:space="preserve">MAC95</x:t>
  </x:si>
  <x:si>
    <x:t xml:space="preserve">XY95</x:t>
  </x:si>
  <x:si>
    <x:t xml:space="preserve">Emp96</x:t>
  </x:si>
  <x:si>
    <x:t xml:space="preserve">User96</x:t>
  </x:si>
  <x:si>
    <x:t xml:space="preserve">emp96@company.com</x:t>
  </x:si>
  <x:si>
    <x:t xml:space="preserve">emp96</x:t>
  </x:si>
  <x:si>
    <x:t xml:space="preserve">BHR96</x:t>
  </x:si>
  <x:si>
    <x:t xml:space="preserve">MAC96</x:t>
  </x:si>
  <x:si>
    <x:t xml:space="preserve">XY96</x:t>
  </x:si>
  <x:si>
    <x:t xml:space="preserve">Emp97</x:t>
  </x:si>
  <x:si>
    <x:t xml:space="preserve">User97</x:t>
  </x:si>
  <x:si>
    <x:t xml:space="preserve">emp97@company.com</x:t>
  </x:si>
  <x:si>
    <x:t xml:space="preserve">emp97</x:t>
  </x:si>
  <x:si>
    <x:t xml:space="preserve">BHR97</x:t>
  </x:si>
  <x:si>
    <x:t xml:space="preserve">MAC97</x:t>
  </x:si>
  <x:si>
    <x:t xml:space="preserve">XY97</x:t>
  </x:si>
  <x:si>
    <x:t xml:space="preserve">Emp98</x:t>
  </x:si>
  <x:si>
    <x:t xml:space="preserve">User98</x:t>
  </x:si>
  <x:si>
    <x:t xml:space="preserve">emp98@company.com</x:t>
  </x:si>
  <x:si>
    <x:t xml:space="preserve">emp98</x:t>
  </x:si>
  <x:si>
    <x:t xml:space="preserve">BHR98</x:t>
  </x:si>
  <x:si>
    <x:t xml:space="preserve">MAC98</x:t>
  </x:si>
  <x:si>
    <x:t xml:space="preserve">XY98</x:t>
  </x:si>
  <x:si>
    <x:t xml:space="preserve">Emp99</x:t>
  </x:si>
  <x:si>
    <x:t xml:space="preserve">User99</x:t>
  </x:si>
  <x:si>
    <x:t xml:space="preserve">emp99@company.com</x:t>
  </x:si>
  <x:si>
    <x:t xml:space="preserve">emp99</x:t>
  </x:si>
  <x:si>
    <x:t xml:space="preserve">BHR99</x:t>
  </x:si>
  <x:si>
    <x:t xml:space="preserve">MAC99</x:t>
  </x:si>
  <x:si>
    <x:t xml:space="preserve">XY99</x:t>
  </x:si>
  <x:si>
    <x:t xml:space="preserve">Emp100</x:t>
  </x:si>
  <x:si>
    <x:t xml:space="preserve">User100</x:t>
  </x:si>
  <x:si>
    <x:t xml:space="preserve">emp100@company.com</x:t>
  </x:si>
  <x:si>
    <x:t xml:space="preserve">emp100</x:t>
  </x:si>
  <x:si>
    <x:t xml:space="preserve">BHR100</x:t>
  </x:si>
  <x:si>
    <x:t xml:space="preserve">MAC100</x:t>
  </x:si>
  <x:si>
    <x:t xml:space="preserve">XY100</x:t>
  </x:si>
  <x:si>
    <x:t xml:space="preserve">Emp101</x:t>
  </x:si>
  <x:si>
    <x:t xml:space="preserve">User101</x:t>
  </x:si>
  <x:si>
    <x:t xml:space="preserve">emp101@company.com</x:t>
  </x:si>
  <x:si>
    <x:t xml:space="preserve">emp101</x:t>
  </x:si>
  <x:si>
    <x:t xml:space="preserve">BHR101</x:t>
  </x:si>
  <x:si>
    <x:t xml:space="preserve">MAC101</x:t>
  </x:si>
  <x:si>
    <x:t xml:space="preserve">XY101</x:t>
  </x:si>
  <x:si>
    <x:t xml:space="preserve">Emp102</x:t>
  </x:si>
  <x:si>
    <x:t xml:space="preserve">User102</x:t>
  </x:si>
  <x:si>
    <x:t xml:space="preserve">emp102@company.com</x:t>
  </x:si>
  <x:si>
    <x:t xml:space="preserve">emp102</x:t>
  </x:si>
  <x:si>
    <x:t xml:space="preserve">BHR102</x:t>
  </x:si>
  <x:si>
    <x:t xml:space="preserve">MAC102</x:t>
  </x:si>
  <x:si>
    <x:t xml:space="preserve">XY102</x:t>
  </x:si>
  <x:si>
    <x:t xml:space="preserve">Emp103</x:t>
  </x:si>
  <x:si>
    <x:t xml:space="preserve">User103</x:t>
  </x:si>
  <x:si>
    <x:t xml:space="preserve">emp103@company.com</x:t>
  </x:si>
  <x:si>
    <x:t xml:space="preserve">emp103</x:t>
  </x:si>
  <x:si>
    <x:t xml:space="preserve">BHR103</x:t>
  </x:si>
  <x:si>
    <x:t xml:space="preserve">MAC103</x:t>
  </x:si>
  <x:si>
    <x:t xml:space="preserve">XY103</x:t>
  </x:si>
  <x:si>
    <x:t xml:space="preserve">Emp104</x:t>
  </x:si>
  <x:si>
    <x:t xml:space="preserve">User104</x:t>
  </x:si>
  <x:si>
    <x:t xml:space="preserve">emp104@company.com</x:t>
  </x:si>
  <x:si>
    <x:t xml:space="preserve">emp104</x:t>
  </x:si>
  <x:si>
    <x:t xml:space="preserve">BHR104</x:t>
  </x:si>
  <x:si>
    <x:t xml:space="preserve">MAC104</x:t>
  </x:si>
  <x:si>
    <x:t xml:space="preserve">XY104</x:t>
  </x:si>
  <x:si>
    <x:t xml:space="preserve">Emp105</x:t>
  </x:si>
  <x:si>
    <x:t xml:space="preserve">User105</x:t>
  </x:si>
  <x:si>
    <x:t xml:space="preserve">emp105@company.com</x:t>
  </x:si>
  <x:si>
    <x:t xml:space="preserve">emp105</x:t>
  </x:si>
  <x:si>
    <x:t xml:space="preserve">BHR105</x:t>
  </x:si>
  <x:si>
    <x:t xml:space="preserve">MAC105</x:t>
  </x:si>
  <x:si>
    <x:t xml:space="preserve">XY105</x:t>
  </x:si>
  <x:si>
    <x:t xml:space="preserve">Emp106</x:t>
  </x:si>
  <x:si>
    <x:t xml:space="preserve">User106</x:t>
  </x:si>
  <x:si>
    <x:t xml:space="preserve">emp106@company.com</x:t>
  </x:si>
  <x:si>
    <x:t xml:space="preserve">emp106</x:t>
  </x:si>
  <x:si>
    <x:t xml:space="preserve">BHR106</x:t>
  </x:si>
  <x:si>
    <x:t xml:space="preserve">MAC106</x:t>
  </x:si>
  <x:si>
    <x:t xml:space="preserve">XY106</x:t>
  </x:si>
  <x:si>
    <x:t xml:space="preserve">Emp107</x:t>
  </x:si>
  <x:si>
    <x:t xml:space="preserve">User107</x:t>
  </x:si>
  <x:si>
    <x:t xml:space="preserve">emp107@company.com</x:t>
  </x:si>
  <x:si>
    <x:t xml:space="preserve">emp107</x:t>
  </x:si>
  <x:si>
    <x:t xml:space="preserve">BHR107</x:t>
  </x:si>
  <x:si>
    <x:t xml:space="preserve">MAC107</x:t>
  </x:si>
  <x:si>
    <x:t xml:space="preserve">XY107</x:t>
  </x:si>
  <x:si>
    <x:t xml:space="preserve">Emp108</x:t>
  </x:si>
  <x:si>
    <x:t xml:space="preserve">User108</x:t>
  </x:si>
  <x:si>
    <x:t xml:space="preserve">emp108@company.com</x:t>
  </x:si>
  <x:si>
    <x:t xml:space="preserve">emp108</x:t>
  </x:si>
  <x:si>
    <x:t xml:space="preserve">BHR108</x:t>
  </x:si>
  <x:si>
    <x:t xml:space="preserve">MAC108</x:t>
  </x:si>
  <x:si>
    <x:t xml:space="preserve">XY108</x:t>
  </x:si>
  <x:si>
    <x:t xml:space="preserve">Emp109</x:t>
  </x:si>
  <x:si>
    <x:t xml:space="preserve">User109</x:t>
  </x:si>
  <x:si>
    <x:t xml:space="preserve">emp109@company.com</x:t>
  </x:si>
  <x:si>
    <x:t xml:space="preserve">emp109</x:t>
  </x:si>
  <x:si>
    <x:t xml:space="preserve">BHR109</x:t>
  </x:si>
  <x:si>
    <x:t xml:space="preserve">MAC109</x:t>
  </x:si>
  <x:si>
    <x:t xml:space="preserve">XY109</x:t>
  </x:si>
  <x:si>
    <x:t xml:space="preserve">Emp110</x:t>
  </x:si>
  <x:si>
    <x:t xml:space="preserve">User110</x:t>
  </x:si>
  <x:si>
    <x:t xml:space="preserve">emp110@company.com</x:t>
  </x:si>
  <x:si>
    <x:t xml:space="preserve">emp110</x:t>
  </x:si>
  <x:si>
    <x:t xml:space="preserve">BHR110</x:t>
  </x:si>
  <x:si>
    <x:t xml:space="preserve">MAC110</x:t>
  </x:si>
  <x:si>
    <x:t xml:space="preserve">XY110</x:t>
  </x:si>
  <x:si>
    <x:t xml:space="preserve">Emp111</x:t>
  </x:si>
  <x:si>
    <x:t xml:space="preserve">User111</x:t>
  </x:si>
  <x:si>
    <x:t xml:space="preserve">emp111@company.com</x:t>
  </x:si>
  <x:si>
    <x:t xml:space="preserve">emp111</x:t>
  </x:si>
  <x:si>
    <x:t xml:space="preserve">BHR111</x:t>
  </x:si>
  <x:si>
    <x:t xml:space="preserve">MAC111</x:t>
  </x:si>
  <x:si>
    <x:t xml:space="preserve">XY111</x:t>
  </x:si>
  <x:si>
    <x:t xml:space="preserve">Emp112</x:t>
  </x:si>
  <x:si>
    <x:t xml:space="preserve">User112</x:t>
  </x:si>
  <x:si>
    <x:t xml:space="preserve">emp112@company.com</x:t>
  </x:si>
  <x:si>
    <x:t xml:space="preserve">emp112</x:t>
  </x:si>
  <x:si>
    <x:t xml:space="preserve">BHR112</x:t>
  </x:si>
  <x:si>
    <x:t xml:space="preserve">MAC112</x:t>
  </x:si>
  <x:si>
    <x:t xml:space="preserve">XY112</x:t>
  </x:si>
  <x:si>
    <x:t xml:space="preserve">Emp113</x:t>
  </x:si>
  <x:si>
    <x:t xml:space="preserve">User113</x:t>
  </x:si>
  <x:si>
    <x:t xml:space="preserve">emp113@company.com</x:t>
  </x:si>
  <x:si>
    <x:t xml:space="preserve">emp113</x:t>
  </x:si>
  <x:si>
    <x:t xml:space="preserve">BHR113</x:t>
  </x:si>
  <x:si>
    <x:t xml:space="preserve">MAC113</x:t>
  </x:si>
  <x:si>
    <x:t xml:space="preserve">XY113</x:t>
  </x:si>
  <x:si>
    <x:t xml:space="preserve">Emp114</x:t>
  </x:si>
  <x:si>
    <x:t xml:space="preserve">User114</x:t>
  </x:si>
  <x:si>
    <x:t xml:space="preserve">emp114@company.com</x:t>
  </x:si>
  <x:si>
    <x:t xml:space="preserve">emp114</x:t>
  </x:si>
  <x:si>
    <x:t xml:space="preserve">BHR114</x:t>
  </x:si>
  <x:si>
    <x:t xml:space="preserve">MAC114</x:t>
  </x:si>
  <x:si>
    <x:t xml:space="preserve">XY114</x:t>
  </x:si>
  <x:si>
    <x:t xml:space="preserve">Emp115</x:t>
  </x:si>
  <x:si>
    <x:t xml:space="preserve">User115</x:t>
  </x:si>
  <x:si>
    <x:t xml:space="preserve">emp115@company.com</x:t>
  </x:si>
  <x:si>
    <x:t xml:space="preserve">emp115</x:t>
  </x:si>
  <x:si>
    <x:t xml:space="preserve">BHR115</x:t>
  </x:si>
  <x:si>
    <x:t xml:space="preserve">MAC115</x:t>
  </x:si>
  <x:si>
    <x:t xml:space="preserve">XY115</x:t>
  </x:si>
  <x:si>
    <x:t xml:space="preserve">Emp116</x:t>
  </x:si>
  <x:si>
    <x:t xml:space="preserve">User116</x:t>
  </x:si>
  <x:si>
    <x:t xml:space="preserve">emp116</x:t>
  </x:si>
  <x:si>
    <x:t xml:space="preserve">BHR116</x:t>
  </x:si>
  <x:si>
    <x:t xml:space="preserve">MAC116</x:t>
  </x:si>
  <x:si>
    <x:t xml:space="preserve">XY116</x:t>
  </x:si>
  <x:si>
    <x:t xml:space="preserve">Emp117</x:t>
  </x:si>
  <x:si>
    <x:t xml:space="preserve">User117</x:t>
  </x:si>
  <x:si>
    <x:t xml:space="preserve">emp117@company.com</x:t>
  </x:si>
  <x:si>
    <x:t xml:space="preserve">emp117</x:t>
  </x:si>
  <x:si>
    <x:t xml:space="preserve">BHR117</x:t>
  </x:si>
  <x:si>
    <x:t xml:space="preserve">MAC117</x:t>
  </x:si>
  <x:si>
    <x:t xml:space="preserve">XY117</x:t>
  </x:si>
  <x:si>
    <x:t xml:space="preserve">Emp118</x:t>
  </x:si>
  <x:si>
    <x:t xml:space="preserve">User118</x:t>
  </x:si>
  <x:si>
    <x:t xml:space="preserve">emp118@company.com</x:t>
  </x:si>
  <x:si>
    <x:t xml:space="preserve">emp118</x:t>
  </x:si>
  <x:si>
    <x:t xml:space="preserve">BHR118</x:t>
  </x:si>
  <x:si>
    <x:t xml:space="preserve">MAC118</x:t>
  </x:si>
  <x:si>
    <x:t xml:space="preserve">XY118</x:t>
  </x:si>
  <x:si>
    <x:t xml:space="preserve">Emp119</x:t>
  </x:si>
  <x:si>
    <x:t xml:space="preserve">User119</x:t>
  </x:si>
  <x:si>
    <x:t xml:space="preserve">emp119@company.com</x:t>
  </x:si>
  <x:si>
    <x:t xml:space="preserve">emp119</x:t>
  </x:si>
  <x:si>
    <x:t xml:space="preserve">BHR119</x:t>
  </x:si>
  <x:si>
    <x:t xml:space="preserve">MAC119</x:t>
  </x:si>
  <x:si>
    <x:t xml:space="preserve">XY119</x:t>
  </x:si>
  <x:si>
    <x:t xml:space="preserve">Emp120</x:t>
  </x:si>
  <x:si>
    <x:t xml:space="preserve">User120</x:t>
  </x:si>
  <x:si>
    <x:t xml:space="preserve">emp120@company.com</x:t>
  </x:si>
  <x:si>
    <x:t xml:space="preserve">emp120</x:t>
  </x:si>
  <x:si>
    <x:t xml:space="preserve">BHR120</x:t>
  </x:si>
  <x:si>
    <x:t xml:space="preserve">MAC120</x:t>
  </x:si>
  <x:si>
    <x:t xml:space="preserve">XY120</x:t>
  </x:si>
  <x:si>
    <x:t xml:space="preserve">Emp121</x:t>
  </x:si>
  <x:si>
    <x:t xml:space="preserve">User121</x:t>
  </x:si>
  <x:si>
    <x:t xml:space="preserve">emp121@company.com</x:t>
  </x:si>
  <x:si>
    <x:t xml:space="preserve">emp121</x:t>
  </x:si>
  <x:si>
    <x:t xml:space="preserve">BHR121</x:t>
  </x:si>
  <x:si>
    <x:t xml:space="preserve">MAC121</x:t>
  </x:si>
  <x:si>
    <x:t xml:space="preserve">XY121</x:t>
  </x:si>
  <x:si>
    <x:t xml:space="preserve">Emp122</x:t>
  </x:si>
  <x:si>
    <x:t xml:space="preserve">User122</x:t>
  </x:si>
  <x:si>
    <x:t xml:space="preserve">emp122@company.com</x:t>
  </x:si>
  <x:si>
    <x:t xml:space="preserve">emp122</x:t>
  </x:si>
  <x:si>
    <x:t xml:space="preserve">BHR122</x:t>
  </x:si>
  <x:si>
    <x:t xml:space="preserve">MAC122</x:t>
  </x:si>
  <x:si>
    <x:t xml:space="preserve">XY122</x:t>
  </x:si>
  <x:si>
    <x:t xml:space="preserve">Emp123</x:t>
  </x:si>
  <x:si>
    <x:t xml:space="preserve">User123</x:t>
  </x:si>
  <x:si>
    <x:t xml:space="preserve">emp123@company.com</x:t>
  </x:si>
  <x:si>
    <x:t xml:space="preserve">emp123</x:t>
  </x:si>
  <x:si>
    <x:t xml:space="preserve">BHR123</x:t>
  </x:si>
  <x:si>
    <x:t xml:space="preserve">MAC123</x:t>
  </x:si>
  <x:si>
    <x:t xml:space="preserve">XY123</x:t>
  </x:si>
  <x:si>
    <x:t xml:space="preserve">Emp124</x:t>
  </x:si>
  <x:si>
    <x:t xml:space="preserve">User124</x:t>
  </x:si>
  <x:si>
    <x:t xml:space="preserve">emp124@company.com</x:t>
  </x:si>
  <x:si>
    <x:t xml:space="preserve">emp124</x:t>
  </x:si>
  <x:si>
    <x:t xml:space="preserve">BHR124</x:t>
  </x:si>
  <x:si>
    <x:t xml:space="preserve">MAC124</x:t>
  </x:si>
  <x:si>
    <x:t xml:space="preserve">XY124</x:t>
  </x:si>
  <x:si>
    <x:t xml:space="preserve">Emp125</x:t>
  </x:si>
  <x:si>
    <x:t xml:space="preserve">User125</x:t>
  </x:si>
  <x:si>
    <x:t xml:space="preserve">emp125@company.com</x:t>
  </x:si>
  <x:si>
    <x:t xml:space="preserve">emp125</x:t>
  </x:si>
  <x:si>
    <x:t xml:space="preserve">BHR125</x:t>
  </x:si>
  <x:si>
    <x:t xml:space="preserve">MAC125</x:t>
  </x:si>
  <x:si>
    <x:t xml:space="preserve">XY125</x:t>
  </x:si>
  <x:si>
    <x:t xml:space="preserve">Emp126</x:t>
  </x:si>
  <x:si>
    <x:t xml:space="preserve">User126</x:t>
  </x:si>
  <x:si>
    <x:t xml:space="preserve">emp126@company.com</x:t>
  </x:si>
  <x:si>
    <x:t xml:space="preserve">emp126</x:t>
  </x:si>
  <x:si>
    <x:t xml:space="preserve">BHR126</x:t>
  </x:si>
  <x:si>
    <x:t xml:space="preserve">MAC126</x:t>
  </x:si>
  <x:si>
    <x:t xml:space="preserve">XY126</x:t>
  </x:si>
  <x:si>
    <x:t xml:space="preserve">Emp127</x:t>
  </x:si>
  <x:si>
    <x:t xml:space="preserve">User127</x:t>
  </x:si>
  <x:si>
    <x:t xml:space="preserve">emp127@company.com</x:t>
  </x:si>
  <x:si>
    <x:t xml:space="preserve">emp127</x:t>
  </x:si>
  <x:si>
    <x:t xml:space="preserve">BHR127</x:t>
  </x:si>
  <x:si>
    <x:t xml:space="preserve">MAC127</x:t>
  </x:si>
  <x:si>
    <x:t xml:space="preserve">XY127</x:t>
  </x:si>
  <x:si>
    <x:t xml:space="preserve">Emp128</x:t>
  </x:si>
  <x:si>
    <x:t xml:space="preserve">User128</x:t>
  </x:si>
  <x:si>
    <x:t xml:space="preserve">emp128@company.com</x:t>
  </x:si>
  <x:si>
    <x:t xml:space="preserve">emp128</x:t>
  </x:si>
  <x:si>
    <x:t xml:space="preserve">BHR128</x:t>
  </x:si>
  <x:si>
    <x:t xml:space="preserve">MAC128</x:t>
  </x:si>
  <x:si>
    <x:t xml:space="preserve">XY128</x:t>
  </x:si>
  <x:si>
    <x:t xml:space="preserve">Emp129</x:t>
  </x:si>
  <x:si>
    <x:t xml:space="preserve">User129</x:t>
  </x:si>
  <x:si>
    <x:t xml:space="preserve">emp129@company.com</x:t>
  </x:si>
  <x:si>
    <x:t xml:space="preserve">emp129</x:t>
  </x:si>
  <x:si>
    <x:t xml:space="preserve">BHR129</x:t>
  </x:si>
  <x:si>
    <x:t xml:space="preserve">MAC129</x:t>
  </x:si>
  <x:si>
    <x:t xml:space="preserve">XY129</x:t>
  </x:si>
  <x:si>
    <x:t xml:space="preserve">Emp130</x:t>
  </x:si>
  <x:si>
    <x:t xml:space="preserve">User130</x:t>
  </x:si>
  <x:si>
    <x:t xml:space="preserve">emp130@company.com</x:t>
  </x:si>
  <x:si>
    <x:t xml:space="preserve">emp130</x:t>
  </x:si>
  <x:si>
    <x:t xml:space="preserve">BHR130</x:t>
  </x:si>
  <x:si>
    <x:t xml:space="preserve">MAC130</x:t>
  </x:si>
  <x:si>
    <x:t xml:space="preserve">XY130</x:t>
  </x:si>
  <x:si>
    <x:t xml:space="preserve">Emp131</x:t>
  </x:si>
  <x:si>
    <x:t xml:space="preserve">User131</x:t>
  </x:si>
  <x:si>
    <x:t xml:space="preserve">emp131@company.com</x:t>
  </x:si>
  <x:si>
    <x:t xml:space="preserve">emp131</x:t>
  </x:si>
  <x:si>
    <x:t xml:space="preserve">BHR131</x:t>
  </x:si>
  <x:si>
    <x:t xml:space="preserve">MAC131</x:t>
  </x:si>
  <x:si>
    <x:t xml:space="preserve">XY131</x:t>
  </x:si>
  <x:si>
    <x:t xml:space="preserve">Emp132</x:t>
  </x:si>
  <x:si>
    <x:t xml:space="preserve">User132</x:t>
  </x:si>
  <x:si>
    <x:t xml:space="preserve">emp132@company.com</x:t>
  </x:si>
  <x:si>
    <x:t xml:space="preserve">emp132</x:t>
  </x:si>
  <x:si>
    <x:t xml:space="preserve">BHR132</x:t>
  </x:si>
  <x:si>
    <x:t xml:space="preserve">MAC132</x:t>
  </x:si>
  <x:si>
    <x:t xml:space="preserve">XY132</x:t>
  </x:si>
  <x:si>
    <x:t xml:space="preserve">Emp133</x:t>
  </x:si>
  <x:si>
    <x:t xml:space="preserve">User133</x:t>
  </x:si>
  <x:si>
    <x:t xml:space="preserve">emp133@company.com</x:t>
  </x:si>
  <x:si>
    <x:t xml:space="preserve">emp133</x:t>
  </x:si>
  <x:si>
    <x:t xml:space="preserve">BHR133</x:t>
  </x:si>
  <x:si>
    <x:t xml:space="preserve">MAC133</x:t>
  </x:si>
  <x:si>
    <x:t xml:space="preserve">XY133</x:t>
  </x:si>
  <x:si>
    <x:t xml:space="preserve">Emp134</x:t>
  </x:si>
  <x:si>
    <x:t xml:space="preserve">User134</x:t>
  </x:si>
  <x:si>
    <x:t xml:space="preserve">emp134@company.com</x:t>
  </x:si>
  <x:si>
    <x:t xml:space="preserve">emp134</x:t>
  </x:si>
  <x:si>
    <x:t xml:space="preserve">BHR134</x:t>
  </x:si>
  <x:si>
    <x:t xml:space="preserve">MAC134</x:t>
  </x:si>
  <x:si>
    <x:t xml:space="preserve">XY134</x:t>
  </x:si>
  <x:si>
    <x:t xml:space="preserve">Emp135</x:t>
  </x:si>
  <x:si>
    <x:t xml:space="preserve">User135</x:t>
  </x:si>
  <x:si>
    <x:t xml:space="preserve">emp135@company.com</x:t>
  </x:si>
  <x:si>
    <x:t xml:space="preserve">emp135</x:t>
  </x:si>
  <x:si>
    <x:t xml:space="preserve">BHR135</x:t>
  </x:si>
  <x:si>
    <x:t xml:space="preserve">MAC135</x:t>
  </x:si>
  <x:si>
    <x:t xml:space="preserve">XY135</x:t>
  </x:si>
  <x:si>
    <x:t xml:space="preserve">Emp136</x:t>
  </x:si>
  <x:si>
    <x:t xml:space="preserve">User136</x:t>
  </x:si>
  <x:si>
    <x:t xml:space="preserve">emp136@company.com</x:t>
  </x:si>
  <x:si>
    <x:t xml:space="preserve">emp136</x:t>
  </x:si>
  <x:si>
    <x:t xml:space="preserve">BHR136</x:t>
  </x:si>
  <x:si>
    <x:t xml:space="preserve">MAC136</x:t>
  </x:si>
  <x:si>
    <x:t xml:space="preserve">XY136</x:t>
  </x:si>
  <x:si>
    <x:t xml:space="preserve">Emp137</x:t>
  </x:si>
  <x:si>
    <x:t xml:space="preserve">User137</x:t>
  </x:si>
  <x:si>
    <x:t xml:space="preserve">emp137@company.com</x:t>
  </x:si>
  <x:si>
    <x:t xml:space="preserve">emp137</x:t>
  </x:si>
  <x:si>
    <x:t xml:space="preserve">BHR137</x:t>
  </x:si>
  <x:si>
    <x:t xml:space="preserve">MAC137</x:t>
  </x:si>
  <x:si>
    <x:t xml:space="preserve">XY137</x:t>
  </x:si>
  <x:si>
    <x:t xml:space="preserve">Emp138</x:t>
  </x:si>
  <x:si>
    <x:t xml:space="preserve">User138</x:t>
  </x:si>
  <x:si>
    <x:t xml:space="preserve">emp138@company.com</x:t>
  </x:si>
  <x:si>
    <x:t xml:space="preserve">emp138</x:t>
  </x:si>
  <x:si>
    <x:t xml:space="preserve">BHR138</x:t>
  </x:si>
  <x:si>
    <x:t xml:space="preserve">MAC138</x:t>
  </x:si>
  <x:si>
    <x:t xml:space="preserve">XY138</x:t>
  </x:si>
  <x:si>
    <x:t xml:space="preserve">Emp139</x:t>
  </x:si>
  <x:si>
    <x:t xml:space="preserve">User139</x:t>
  </x:si>
  <x:si>
    <x:t xml:space="preserve">emp139@company.com</x:t>
  </x:si>
  <x:si>
    <x:t xml:space="preserve">emp139</x:t>
  </x:si>
  <x:si>
    <x:t xml:space="preserve">BHR139</x:t>
  </x:si>
  <x:si>
    <x:t xml:space="preserve">MAC139</x:t>
  </x:si>
  <x:si>
    <x:t xml:space="preserve">XY139</x:t>
  </x:si>
  <x:si>
    <x:t xml:space="preserve">Emp140</x:t>
  </x:si>
  <x:si>
    <x:t xml:space="preserve">User140</x:t>
  </x:si>
  <x:si>
    <x:t xml:space="preserve">emp140@company.com</x:t>
  </x:si>
  <x:si>
    <x:t xml:space="preserve">emp140</x:t>
  </x:si>
  <x:si>
    <x:t xml:space="preserve">BHR140</x:t>
  </x:si>
  <x:si>
    <x:t xml:space="preserve">MAC140</x:t>
  </x:si>
  <x:si>
    <x:t xml:space="preserve">XY140</x:t>
  </x:si>
  <x:si>
    <x:t xml:space="preserve">Emp141</x:t>
  </x:si>
  <x:si>
    <x:t xml:space="preserve">User141</x:t>
  </x:si>
  <x:si>
    <x:t xml:space="preserve">emp141@company.com</x:t>
  </x:si>
  <x:si>
    <x:t xml:space="preserve">emp141</x:t>
  </x:si>
  <x:si>
    <x:t xml:space="preserve">BHR141</x:t>
  </x:si>
  <x:si>
    <x:t xml:space="preserve">MAC141</x:t>
  </x:si>
  <x:si>
    <x:t xml:space="preserve">XY141</x:t>
  </x:si>
  <x:si>
    <x:t xml:space="preserve">Emp142</x:t>
  </x:si>
  <x:si>
    <x:t xml:space="preserve">User142</x:t>
  </x:si>
  <x:si>
    <x:t xml:space="preserve">emp142@company.com</x:t>
  </x:si>
  <x:si>
    <x:t xml:space="preserve">emp142</x:t>
  </x:si>
  <x:si>
    <x:t xml:space="preserve">BHR142</x:t>
  </x:si>
  <x:si>
    <x:t xml:space="preserve">MAC142</x:t>
  </x:si>
  <x:si>
    <x:t xml:space="preserve">XY142</x:t>
  </x:si>
  <x:si>
    <x:t xml:space="preserve">Emp143</x:t>
  </x:si>
  <x:si>
    <x:t xml:space="preserve">User143</x:t>
  </x:si>
  <x:si>
    <x:t xml:space="preserve">emp143@company.com</x:t>
  </x:si>
  <x:si>
    <x:t xml:space="preserve">emp143</x:t>
  </x:si>
  <x:si>
    <x:t xml:space="preserve">BHR143</x:t>
  </x:si>
  <x:si>
    <x:t xml:space="preserve">MAC143</x:t>
  </x:si>
  <x:si>
    <x:t xml:space="preserve">XY143</x:t>
  </x:si>
  <x:si>
    <x:t xml:space="preserve">Emp144</x:t>
  </x:si>
  <x:si>
    <x:t xml:space="preserve">User144</x:t>
  </x:si>
  <x:si>
    <x:t xml:space="preserve">emp144@company.com</x:t>
  </x:si>
  <x:si>
    <x:t xml:space="preserve">emp144</x:t>
  </x:si>
  <x:si>
    <x:t xml:space="preserve">BHR144</x:t>
  </x:si>
  <x:si>
    <x:t xml:space="preserve">MAC144</x:t>
  </x:si>
  <x:si>
    <x:t xml:space="preserve">XY144</x:t>
  </x:si>
  <x:si>
    <x:t xml:space="preserve">Emp145</x:t>
  </x:si>
  <x:si>
    <x:t xml:space="preserve">User145</x:t>
  </x:si>
  <x:si>
    <x:t xml:space="preserve">emp145</x:t>
  </x:si>
  <x:si>
    <x:t xml:space="preserve">BHR145</x:t>
  </x:si>
  <x:si>
    <x:t xml:space="preserve">MAC145</x:t>
  </x:si>
  <x:si>
    <x:t xml:space="preserve">XY145</x:t>
  </x:si>
  <x:si>
    <x:t xml:space="preserve">Emp146</x:t>
  </x:si>
  <x:si>
    <x:t xml:space="preserve">User146</x:t>
  </x:si>
  <x:si>
    <x:t xml:space="preserve">emp146@company.com</x:t>
  </x:si>
  <x:si>
    <x:t xml:space="preserve">emp146</x:t>
  </x:si>
  <x:si>
    <x:t xml:space="preserve">BHR146</x:t>
  </x:si>
  <x:si>
    <x:t xml:space="preserve">MAC146</x:t>
  </x:si>
  <x:si>
    <x:t xml:space="preserve">XY146</x:t>
  </x:si>
  <x:si>
    <x:t xml:space="preserve">Emp147</x:t>
  </x:si>
  <x:si>
    <x:t xml:space="preserve">User147</x:t>
  </x:si>
  <x:si>
    <x:t xml:space="preserve">emp147@company.com</x:t>
  </x:si>
  <x:si>
    <x:t xml:space="preserve">emp147</x:t>
  </x:si>
  <x:si>
    <x:t xml:space="preserve">BHR147</x:t>
  </x:si>
  <x:si>
    <x:t xml:space="preserve">MAC147</x:t>
  </x:si>
  <x:si>
    <x:t xml:space="preserve">XY147</x:t>
  </x:si>
  <x:si>
    <x:t xml:space="preserve">Emp148</x:t>
  </x:si>
  <x:si>
    <x:t xml:space="preserve">User148</x:t>
  </x:si>
  <x:si>
    <x:t xml:space="preserve">emp148@company.com</x:t>
  </x:si>
  <x:si>
    <x:t xml:space="preserve">emp148</x:t>
  </x:si>
  <x:si>
    <x:t xml:space="preserve">BHR148</x:t>
  </x:si>
  <x:si>
    <x:t xml:space="preserve">MAC148</x:t>
  </x:si>
  <x:si>
    <x:t xml:space="preserve">XY148</x:t>
  </x:si>
  <x:si>
    <x:t xml:space="preserve">Emp149</x:t>
  </x:si>
  <x:si>
    <x:t xml:space="preserve">User149</x:t>
  </x:si>
  <x:si>
    <x:t xml:space="preserve">emp149@company.com</x:t>
  </x:si>
  <x:si>
    <x:t xml:space="preserve">emp149</x:t>
  </x:si>
  <x:si>
    <x:t xml:space="preserve">BHR149</x:t>
  </x:si>
  <x:si>
    <x:t xml:space="preserve">MAC149</x:t>
  </x:si>
  <x:si>
    <x:t xml:space="preserve">XY149</x:t>
  </x:si>
  <x:si>
    <x:t xml:space="preserve">Emp150</x:t>
  </x:si>
  <x:si>
    <x:t xml:space="preserve">User150</x:t>
  </x:si>
  <x:si>
    <x:t xml:space="preserve">emp150@company.com</x:t>
  </x:si>
  <x:si>
    <x:t xml:space="preserve">emp150</x:t>
  </x:si>
  <x:si>
    <x:t xml:space="preserve">BHR150</x:t>
  </x:si>
  <x:si>
    <x:t xml:space="preserve">MAC150</x:t>
  </x:si>
  <x:si>
    <x:t xml:space="preserve">XY150</x:t>
  </x:si>
  <x:si>
    <x:t xml:space="preserve">Emp151</x:t>
  </x:si>
  <x:si>
    <x:t xml:space="preserve">User151</x:t>
  </x:si>
  <x:si>
    <x:t xml:space="preserve">emp151@company.com</x:t>
  </x:si>
  <x:si>
    <x:t xml:space="preserve">emp151</x:t>
  </x:si>
  <x:si>
    <x:t xml:space="preserve">BHR151</x:t>
  </x:si>
  <x:si>
    <x:t xml:space="preserve">MAC151</x:t>
  </x:si>
  <x:si>
    <x:t xml:space="preserve">XY151</x:t>
  </x:si>
  <x:si>
    <x:t xml:space="preserve">Emp152</x:t>
  </x:si>
  <x:si>
    <x:t xml:space="preserve">User152</x:t>
  </x:si>
  <x:si>
    <x:t xml:space="preserve">emp152@company.com</x:t>
  </x:si>
  <x:si>
    <x:t xml:space="preserve">emp152</x:t>
  </x:si>
  <x:si>
    <x:t xml:space="preserve">BHR152</x:t>
  </x:si>
  <x:si>
    <x:t xml:space="preserve">MAC152</x:t>
  </x:si>
  <x:si>
    <x:t xml:space="preserve">XY152</x:t>
  </x:si>
  <x:si>
    <x:t xml:space="preserve">Emp153</x:t>
  </x:si>
  <x:si>
    <x:t xml:space="preserve">User153</x:t>
  </x:si>
  <x:si>
    <x:t xml:space="preserve">emp153@company.com</x:t>
  </x:si>
  <x:si>
    <x:t xml:space="preserve">emp153</x:t>
  </x:si>
  <x:si>
    <x:t xml:space="preserve">BHR153</x:t>
  </x:si>
  <x:si>
    <x:t xml:space="preserve">MAC153</x:t>
  </x:si>
  <x:si>
    <x:t xml:space="preserve">XY153</x:t>
  </x:si>
  <x:si>
    <x:t xml:space="preserve">Emp154</x:t>
  </x:si>
  <x:si>
    <x:t xml:space="preserve">User154</x:t>
  </x:si>
  <x:si>
    <x:t xml:space="preserve">emp154@company.com</x:t>
  </x:si>
  <x:si>
    <x:t xml:space="preserve">emp154</x:t>
  </x:si>
  <x:si>
    <x:t xml:space="preserve">BHR154</x:t>
  </x:si>
  <x:si>
    <x:t xml:space="preserve">MAC154</x:t>
  </x:si>
  <x:si>
    <x:t xml:space="preserve">XY154</x:t>
  </x:si>
  <x:si>
    <x:t xml:space="preserve">Emp155</x:t>
  </x:si>
  <x:si>
    <x:t xml:space="preserve">User155</x:t>
  </x:si>
  <x:si>
    <x:t xml:space="preserve">emp155@company.com</x:t>
  </x:si>
  <x:si>
    <x:t xml:space="preserve">emp155</x:t>
  </x:si>
  <x:si>
    <x:t xml:space="preserve">BHR155</x:t>
  </x:si>
  <x:si>
    <x:t xml:space="preserve">MAC155</x:t>
  </x:si>
  <x:si>
    <x:t xml:space="preserve">XY155</x:t>
  </x:si>
  <x:si>
    <x:t xml:space="preserve">Emp156</x:t>
  </x:si>
  <x:si>
    <x:t xml:space="preserve">User156</x:t>
  </x:si>
  <x:si>
    <x:t xml:space="preserve">emp156@company.com</x:t>
  </x:si>
  <x:si>
    <x:t xml:space="preserve">emp156</x:t>
  </x:si>
  <x:si>
    <x:t xml:space="preserve">BHR156</x:t>
  </x:si>
  <x:si>
    <x:t xml:space="preserve">MAC156</x:t>
  </x:si>
  <x:si>
    <x:t xml:space="preserve">XY156</x:t>
  </x:si>
  <x:si>
    <x:t xml:space="preserve">Emp157</x:t>
  </x:si>
  <x:si>
    <x:t xml:space="preserve">User157</x:t>
  </x:si>
  <x:si>
    <x:t xml:space="preserve">emp157@company.com</x:t>
  </x:si>
  <x:si>
    <x:t xml:space="preserve">emp157</x:t>
  </x:si>
  <x:si>
    <x:t xml:space="preserve">BHR157</x:t>
  </x:si>
  <x:si>
    <x:t xml:space="preserve">MAC157</x:t>
  </x:si>
  <x:si>
    <x:t xml:space="preserve">XY157</x:t>
  </x:si>
  <x:si>
    <x:t xml:space="preserve">Emp158</x:t>
  </x:si>
  <x:si>
    <x:t xml:space="preserve">User158</x:t>
  </x:si>
  <x:si>
    <x:t xml:space="preserve">emp158@company.com</x:t>
  </x:si>
  <x:si>
    <x:t xml:space="preserve">emp158</x:t>
  </x:si>
  <x:si>
    <x:t xml:space="preserve">BHR158</x:t>
  </x:si>
  <x:si>
    <x:t xml:space="preserve">MAC158</x:t>
  </x:si>
  <x:si>
    <x:t xml:space="preserve">XY158</x:t>
  </x:si>
  <x:si>
    <x:t xml:space="preserve">Emp159</x:t>
  </x:si>
  <x:si>
    <x:t xml:space="preserve">User159</x:t>
  </x:si>
  <x:si>
    <x:t xml:space="preserve">emp159@company.com</x:t>
  </x:si>
  <x:si>
    <x:t xml:space="preserve">emp159</x:t>
  </x:si>
  <x:si>
    <x:t xml:space="preserve">BHR159</x:t>
  </x:si>
  <x:si>
    <x:t xml:space="preserve">MAC159</x:t>
  </x:si>
  <x:si>
    <x:t xml:space="preserve">XY159</x:t>
  </x:si>
  <x:si>
    <x:t xml:space="preserve">Emp160</x:t>
  </x:si>
  <x:si>
    <x:t xml:space="preserve">User160</x:t>
  </x:si>
  <x:si>
    <x:t xml:space="preserve">emp160@company.com</x:t>
  </x:si>
  <x:si>
    <x:t xml:space="preserve">emp160</x:t>
  </x:si>
  <x:si>
    <x:t xml:space="preserve">BHR160</x:t>
  </x:si>
  <x:si>
    <x:t xml:space="preserve">MAC160</x:t>
  </x:si>
  <x:si>
    <x:t xml:space="preserve">XY160</x:t>
  </x:si>
  <x:si>
    <x:t xml:space="preserve">Emp161</x:t>
  </x:si>
  <x:si>
    <x:t xml:space="preserve">User161</x:t>
  </x:si>
  <x:si>
    <x:t xml:space="preserve">emp161@company.com</x:t>
  </x:si>
  <x:si>
    <x:t xml:space="preserve">emp161</x:t>
  </x:si>
  <x:si>
    <x:t xml:space="preserve">BHR161</x:t>
  </x:si>
  <x:si>
    <x:t xml:space="preserve">MAC161</x:t>
  </x:si>
  <x:si>
    <x:t xml:space="preserve">XY161</x:t>
  </x:si>
  <x:si>
    <x:t xml:space="preserve">Emp162</x:t>
  </x:si>
  <x:si>
    <x:t xml:space="preserve">User162</x:t>
  </x:si>
  <x:si>
    <x:t xml:space="preserve">emp162@company.com</x:t>
  </x:si>
  <x:si>
    <x:t xml:space="preserve">emp162</x:t>
  </x:si>
  <x:si>
    <x:t xml:space="preserve">BHR162</x:t>
  </x:si>
  <x:si>
    <x:t xml:space="preserve">MAC162</x:t>
  </x:si>
  <x:si>
    <x:t xml:space="preserve">XY162</x:t>
  </x:si>
  <x:si>
    <x:t xml:space="preserve">Emp163</x:t>
  </x:si>
  <x:si>
    <x:t xml:space="preserve">User163</x:t>
  </x:si>
  <x:si>
    <x:t xml:space="preserve">emp163@company.com</x:t>
  </x:si>
  <x:si>
    <x:t xml:space="preserve">emp163</x:t>
  </x:si>
  <x:si>
    <x:t xml:space="preserve">BHR163</x:t>
  </x:si>
  <x:si>
    <x:t xml:space="preserve">MAC163</x:t>
  </x:si>
  <x:si>
    <x:t xml:space="preserve">XY163</x:t>
  </x:si>
  <x:si>
    <x:t xml:space="preserve">Emp164</x:t>
  </x:si>
  <x:si>
    <x:t xml:space="preserve">User164</x:t>
  </x:si>
  <x:si>
    <x:t xml:space="preserve">emp164@company.com</x:t>
  </x:si>
  <x:si>
    <x:t xml:space="preserve">emp164</x:t>
  </x:si>
  <x:si>
    <x:t xml:space="preserve">BHR164</x:t>
  </x:si>
  <x:si>
    <x:t xml:space="preserve">MAC164</x:t>
  </x:si>
  <x:si>
    <x:t xml:space="preserve">XY164</x:t>
  </x:si>
  <x:si>
    <x:t xml:space="preserve">Emp165</x:t>
  </x:si>
  <x:si>
    <x:t xml:space="preserve">User165</x:t>
  </x:si>
  <x:si>
    <x:t xml:space="preserve">emp165@company.com</x:t>
  </x:si>
  <x:si>
    <x:t xml:space="preserve">emp165</x:t>
  </x:si>
  <x:si>
    <x:t xml:space="preserve">BHR165</x:t>
  </x:si>
  <x:si>
    <x:t xml:space="preserve">MAC165</x:t>
  </x:si>
  <x:si>
    <x:t xml:space="preserve">XY165</x:t>
  </x:si>
  <x:si>
    <x:t xml:space="preserve">Emp166</x:t>
  </x:si>
  <x:si>
    <x:t xml:space="preserve">User166</x:t>
  </x:si>
  <x:si>
    <x:t xml:space="preserve">emp166@company.com</x:t>
  </x:si>
  <x:si>
    <x:t xml:space="preserve">emp166</x:t>
  </x:si>
  <x:si>
    <x:t xml:space="preserve">BHR166</x:t>
  </x:si>
  <x:si>
    <x:t xml:space="preserve">MAC166</x:t>
  </x:si>
  <x:si>
    <x:t xml:space="preserve">XY166</x:t>
  </x:si>
  <x:si>
    <x:t xml:space="preserve">Emp167</x:t>
  </x:si>
  <x:si>
    <x:t xml:space="preserve">User167</x:t>
  </x:si>
  <x:si>
    <x:t xml:space="preserve">emp167@company.com</x:t>
  </x:si>
  <x:si>
    <x:t xml:space="preserve">emp167</x:t>
  </x:si>
  <x:si>
    <x:t xml:space="preserve">BHR167</x:t>
  </x:si>
  <x:si>
    <x:t xml:space="preserve">MAC167</x:t>
  </x:si>
  <x:si>
    <x:t xml:space="preserve">XY167</x:t>
  </x:si>
  <x:si>
    <x:t xml:space="preserve">Emp168</x:t>
  </x:si>
  <x:si>
    <x:t xml:space="preserve">User168</x:t>
  </x:si>
  <x:si>
    <x:t xml:space="preserve">emp168@company.com</x:t>
  </x:si>
  <x:si>
    <x:t xml:space="preserve">emp168</x:t>
  </x:si>
  <x:si>
    <x:t xml:space="preserve">BHR168</x:t>
  </x:si>
  <x:si>
    <x:t xml:space="preserve">MAC168</x:t>
  </x:si>
  <x:si>
    <x:t xml:space="preserve">XY168</x:t>
  </x:si>
  <x:si>
    <x:t xml:space="preserve">Emp169</x:t>
  </x:si>
  <x:si>
    <x:t xml:space="preserve">User169</x:t>
  </x:si>
  <x:si>
    <x:t xml:space="preserve">emp169@company.com</x:t>
  </x:si>
  <x:si>
    <x:t xml:space="preserve">emp169</x:t>
  </x:si>
  <x:si>
    <x:t xml:space="preserve">BHR169</x:t>
  </x:si>
  <x:si>
    <x:t xml:space="preserve">MAC169</x:t>
  </x:si>
  <x:si>
    <x:t xml:space="preserve">XY169</x:t>
  </x:si>
  <x:si>
    <x:t xml:space="preserve">Emp170</x:t>
  </x:si>
  <x:si>
    <x:t xml:space="preserve">User170</x:t>
  </x:si>
  <x:si>
    <x:t xml:space="preserve">emp170@company.com</x:t>
  </x:si>
  <x:si>
    <x:t xml:space="preserve">emp170</x:t>
  </x:si>
  <x:si>
    <x:t xml:space="preserve">BHR170</x:t>
  </x:si>
  <x:si>
    <x:t xml:space="preserve">MAC170</x:t>
  </x:si>
  <x:si>
    <x:t xml:space="preserve">XY170</x:t>
  </x:si>
  <x:si>
    <x:t xml:space="preserve">Emp171</x:t>
  </x:si>
  <x:si>
    <x:t xml:space="preserve">User171</x:t>
  </x:si>
  <x:si>
    <x:t xml:space="preserve">emp171@company.com</x:t>
  </x:si>
  <x:si>
    <x:t xml:space="preserve">emp171</x:t>
  </x:si>
  <x:si>
    <x:t xml:space="preserve">BHR171</x:t>
  </x:si>
  <x:si>
    <x:t xml:space="preserve">MAC171</x:t>
  </x:si>
  <x:si>
    <x:t xml:space="preserve">XY171</x:t>
  </x:si>
  <x:si>
    <x:t xml:space="preserve">Emp172</x:t>
  </x:si>
  <x:si>
    <x:t xml:space="preserve">User172</x:t>
  </x:si>
  <x:si>
    <x:t xml:space="preserve">emp172@company.com</x:t>
  </x:si>
  <x:si>
    <x:t xml:space="preserve">emp172</x:t>
  </x:si>
  <x:si>
    <x:t xml:space="preserve">BHR172</x:t>
  </x:si>
  <x:si>
    <x:t xml:space="preserve">MAC172</x:t>
  </x:si>
  <x:si>
    <x:t xml:space="preserve">XY172</x:t>
  </x:si>
  <x:si>
    <x:t xml:space="preserve">Emp173</x:t>
  </x:si>
  <x:si>
    <x:t xml:space="preserve">User173</x:t>
  </x:si>
  <x:si>
    <x:t xml:space="preserve">emp173@company.com</x:t>
  </x:si>
  <x:si>
    <x:t xml:space="preserve">emp173</x:t>
  </x:si>
  <x:si>
    <x:t xml:space="preserve">BHR173</x:t>
  </x:si>
  <x:si>
    <x:t xml:space="preserve">MAC173</x:t>
  </x:si>
  <x:si>
    <x:t xml:space="preserve">XY173</x:t>
  </x:si>
  <x:si>
    <x:t xml:space="preserve">Emp174</x:t>
  </x:si>
  <x:si>
    <x:t xml:space="preserve">User174</x:t>
  </x:si>
  <x:si>
    <x:t xml:space="preserve">emp174</x:t>
  </x:si>
  <x:si>
    <x:t xml:space="preserve">BHR174</x:t>
  </x:si>
  <x:si>
    <x:t xml:space="preserve">MAC174</x:t>
  </x:si>
  <x:si>
    <x:t xml:space="preserve">XY174</x:t>
  </x:si>
  <x:si>
    <x:t xml:space="preserve">Emp175</x:t>
  </x:si>
  <x:si>
    <x:t xml:space="preserve">User175</x:t>
  </x:si>
  <x:si>
    <x:t xml:space="preserve">emp175@company.com</x:t>
  </x:si>
  <x:si>
    <x:t xml:space="preserve">emp175</x:t>
  </x:si>
  <x:si>
    <x:t xml:space="preserve">BHR175</x:t>
  </x:si>
  <x:si>
    <x:t xml:space="preserve">MAC175</x:t>
  </x:si>
  <x:si>
    <x:t xml:space="preserve">XY175</x:t>
  </x:si>
  <x:si>
    <x:t xml:space="preserve">Emp176</x:t>
  </x:si>
  <x:si>
    <x:t xml:space="preserve">User176</x:t>
  </x:si>
  <x:si>
    <x:t xml:space="preserve">emp176@company.com</x:t>
  </x:si>
  <x:si>
    <x:t xml:space="preserve">emp176</x:t>
  </x:si>
  <x:si>
    <x:t xml:space="preserve">BHR176</x:t>
  </x:si>
  <x:si>
    <x:t xml:space="preserve">MAC176</x:t>
  </x:si>
  <x:si>
    <x:t xml:space="preserve">XY176</x:t>
  </x:si>
  <x:si>
    <x:t xml:space="preserve">Emp177</x:t>
  </x:si>
  <x:si>
    <x:t xml:space="preserve">User177</x:t>
  </x:si>
  <x:si>
    <x:t xml:space="preserve">emp177@company.com</x:t>
  </x:si>
  <x:si>
    <x:t xml:space="preserve">emp177</x:t>
  </x:si>
  <x:si>
    <x:t xml:space="preserve">BHR177</x:t>
  </x:si>
  <x:si>
    <x:t xml:space="preserve">MAC177</x:t>
  </x:si>
  <x:si>
    <x:t xml:space="preserve">XY177</x:t>
  </x:si>
  <x:si>
    <x:t xml:space="preserve">Emp178</x:t>
  </x:si>
  <x:si>
    <x:t xml:space="preserve">User178</x:t>
  </x:si>
  <x:si>
    <x:t xml:space="preserve">emp178@company.com</x:t>
  </x:si>
  <x:si>
    <x:t xml:space="preserve">emp178</x:t>
  </x:si>
  <x:si>
    <x:t xml:space="preserve">BHR178</x:t>
  </x:si>
  <x:si>
    <x:t xml:space="preserve">MAC178</x:t>
  </x:si>
  <x:si>
    <x:t xml:space="preserve">XY178</x:t>
  </x:si>
  <x:si>
    <x:t xml:space="preserve">Emp179</x:t>
  </x:si>
  <x:si>
    <x:t xml:space="preserve">User179</x:t>
  </x:si>
  <x:si>
    <x:t xml:space="preserve">emp179@company.com</x:t>
  </x:si>
  <x:si>
    <x:t xml:space="preserve">emp179</x:t>
  </x:si>
  <x:si>
    <x:t xml:space="preserve">BHR179</x:t>
  </x:si>
  <x:si>
    <x:t xml:space="preserve">MAC179</x:t>
  </x:si>
  <x:si>
    <x:t xml:space="preserve">XY179</x:t>
  </x:si>
  <x:si>
    <x:t xml:space="preserve">Emp180</x:t>
  </x:si>
  <x:si>
    <x:t xml:space="preserve">User180</x:t>
  </x:si>
  <x:si>
    <x:t xml:space="preserve">emp180@company.com</x:t>
  </x:si>
  <x:si>
    <x:t xml:space="preserve">emp180</x:t>
  </x:si>
  <x:si>
    <x:t xml:space="preserve">BHR180</x:t>
  </x:si>
  <x:si>
    <x:t xml:space="preserve">MAC180</x:t>
  </x:si>
  <x:si>
    <x:t xml:space="preserve">XY180</x:t>
  </x:si>
  <x:si>
    <x:t xml:space="preserve">Emp181</x:t>
  </x:si>
  <x:si>
    <x:t xml:space="preserve">User181</x:t>
  </x:si>
  <x:si>
    <x:t xml:space="preserve">emp181@company.com</x:t>
  </x:si>
  <x:si>
    <x:t xml:space="preserve">emp181</x:t>
  </x:si>
  <x:si>
    <x:t xml:space="preserve">BHR181</x:t>
  </x:si>
  <x:si>
    <x:t xml:space="preserve">MAC181</x:t>
  </x:si>
  <x:si>
    <x:t xml:space="preserve">XY181</x:t>
  </x:si>
  <x:si>
    <x:t xml:space="preserve">Emp182</x:t>
  </x:si>
  <x:si>
    <x:t xml:space="preserve">User182</x:t>
  </x:si>
  <x:si>
    <x:t xml:space="preserve">emp182@company.com</x:t>
  </x:si>
  <x:si>
    <x:t xml:space="preserve">emp182</x:t>
  </x:si>
  <x:si>
    <x:t xml:space="preserve">BHR182</x:t>
  </x:si>
  <x:si>
    <x:t xml:space="preserve">MAC182</x:t>
  </x:si>
  <x:si>
    <x:t xml:space="preserve">XY182</x:t>
  </x:si>
  <x:si>
    <x:t xml:space="preserve">Emp183</x:t>
  </x:si>
  <x:si>
    <x:t xml:space="preserve">User183</x:t>
  </x:si>
  <x:si>
    <x:t xml:space="preserve">emp183@company.com</x:t>
  </x:si>
  <x:si>
    <x:t xml:space="preserve">emp183</x:t>
  </x:si>
  <x:si>
    <x:t xml:space="preserve">BHR183</x:t>
  </x:si>
  <x:si>
    <x:t xml:space="preserve">MAC183</x:t>
  </x:si>
  <x:si>
    <x:t xml:space="preserve">XY183</x:t>
  </x:si>
  <x:si>
    <x:t xml:space="preserve">Emp184</x:t>
  </x:si>
  <x:si>
    <x:t xml:space="preserve">User184</x:t>
  </x:si>
  <x:si>
    <x:t xml:space="preserve">emp184@company.com</x:t>
  </x:si>
  <x:si>
    <x:t xml:space="preserve">emp184</x:t>
  </x:si>
  <x:si>
    <x:t xml:space="preserve">BHR184</x:t>
  </x:si>
  <x:si>
    <x:t xml:space="preserve">MAC184</x:t>
  </x:si>
  <x:si>
    <x:t xml:space="preserve">XY184</x:t>
  </x:si>
  <x:si>
    <x:t xml:space="preserve">Emp185</x:t>
  </x:si>
  <x:si>
    <x:t xml:space="preserve">User185</x:t>
  </x:si>
  <x:si>
    <x:t xml:space="preserve">emp185@company.com</x:t>
  </x:si>
  <x:si>
    <x:t xml:space="preserve">emp185</x:t>
  </x:si>
  <x:si>
    <x:t xml:space="preserve">BHR185</x:t>
  </x:si>
  <x:si>
    <x:t xml:space="preserve">MAC185</x:t>
  </x:si>
  <x:si>
    <x:t xml:space="preserve">XY185</x:t>
  </x:si>
  <x:si>
    <x:t xml:space="preserve">Emp186</x:t>
  </x:si>
  <x:si>
    <x:t xml:space="preserve">User186</x:t>
  </x:si>
  <x:si>
    <x:t xml:space="preserve">emp186@company.com</x:t>
  </x:si>
  <x:si>
    <x:t xml:space="preserve">emp186</x:t>
  </x:si>
  <x:si>
    <x:t xml:space="preserve">BHR186</x:t>
  </x:si>
  <x:si>
    <x:t xml:space="preserve">MAC186</x:t>
  </x:si>
  <x:si>
    <x:t xml:space="preserve">XY186</x:t>
  </x:si>
  <x:si>
    <x:t xml:space="preserve">Emp187</x:t>
  </x:si>
  <x:si>
    <x:t xml:space="preserve">User187</x:t>
  </x:si>
  <x:si>
    <x:t xml:space="preserve">emp187@company.com</x:t>
  </x:si>
  <x:si>
    <x:t xml:space="preserve">emp187</x:t>
  </x:si>
  <x:si>
    <x:t xml:space="preserve">BHR187</x:t>
  </x:si>
  <x:si>
    <x:t xml:space="preserve">MAC187</x:t>
  </x:si>
  <x:si>
    <x:t xml:space="preserve">XY187</x:t>
  </x:si>
  <x:si>
    <x:t xml:space="preserve">Emp188</x:t>
  </x:si>
  <x:si>
    <x:t xml:space="preserve">User188</x:t>
  </x:si>
  <x:si>
    <x:t xml:space="preserve">emp188@company.com</x:t>
  </x:si>
  <x:si>
    <x:t xml:space="preserve">emp188</x:t>
  </x:si>
  <x:si>
    <x:t xml:space="preserve">BHR188</x:t>
  </x:si>
  <x:si>
    <x:t xml:space="preserve">MAC188</x:t>
  </x:si>
  <x:si>
    <x:t xml:space="preserve">XY188</x:t>
  </x:si>
  <x:si>
    <x:t xml:space="preserve">Emp189</x:t>
  </x:si>
  <x:si>
    <x:t xml:space="preserve">User189</x:t>
  </x:si>
  <x:si>
    <x:t xml:space="preserve">emp189@company.com</x:t>
  </x:si>
  <x:si>
    <x:t xml:space="preserve">emp189</x:t>
  </x:si>
  <x:si>
    <x:t xml:space="preserve">BHR189</x:t>
  </x:si>
  <x:si>
    <x:t xml:space="preserve">MAC189</x:t>
  </x:si>
  <x:si>
    <x:t xml:space="preserve">XY189</x:t>
  </x:si>
  <x:si>
    <x:t xml:space="preserve">Emp190</x:t>
  </x:si>
  <x:si>
    <x:t xml:space="preserve">User190</x:t>
  </x:si>
  <x:si>
    <x:t xml:space="preserve">emp190@company.com</x:t>
  </x:si>
  <x:si>
    <x:t xml:space="preserve">emp190</x:t>
  </x:si>
  <x:si>
    <x:t xml:space="preserve">BHR190</x:t>
  </x:si>
  <x:si>
    <x:t xml:space="preserve">MAC190</x:t>
  </x:si>
  <x:si>
    <x:t xml:space="preserve">XY190</x:t>
  </x:si>
  <x:si>
    <x:t xml:space="preserve">Emp191</x:t>
  </x:si>
  <x:si>
    <x:t xml:space="preserve">User191</x:t>
  </x:si>
  <x:si>
    <x:t xml:space="preserve">emp191@company.com</x:t>
  </x:si>
  <x:si>
    <x:t xml:space="preserve">emp191</x:t>
  </x:si>
  <x:si>
    <x:t xml:space="preserve">BHR191</x:t>
  </x:si>
  <x:si>
    <x:t xml:space="preserve">MAC191</x:t>
  </x:si>
  <x:si>
    <x:t xml:space="preserve">XY191</x:t>
  </x:si>
  <x:si>
    <x:t xml:space="preserve">Emp192</x:t>
  </x:si>
  <x:si>
    <x:t xml:space="preserve">User192</x:t>
  </x:si>
  <x:si>
    <x:t xml:space="preserve">emp192@company.com</x:t>
  </x:si>
  <x:si>
    <x:t xml:space="preserve">emp192</x:t>
  </x:si>
  <x:si>
    <x:t xml:space="preserve">BHR192</x:t>
  </x:si>
  <x:si>
    <x:t xml:space="preserve">MAC192</x:t>
  </x:si>
  <x:si>
    <x:t xml:space="preserve">XY192</x:t>
  </x:si>
  <x:si>
    <x:t xml:space="preserve">Emp193</x:t>
  </x:si>
  <x:si>
    <x:t xml:space="preserve">User193</x:t>
  </x:si>
  <x:si>
    <x:t xml:space="preserve">emp193@company.com</x:t>
  </x:si>
  <x:si>
    <x:t xml:space="preserve">emp193</x:t>
  </x:si>
  <x:si>
    <x:t xml:space="preserve">BHR193</x:t>
  </x:si>
  <x:si>
    <x:t xml:space="preserve">MAC193</x:t>
  </x:si>
  <x:si>
    <x:t xml:space="preserve">XY193</x:t>
  </x:si>
  <x:si>
    <x:t xml:space="preserve">Emp194</x:t>
  </x:si>
  <x:si>
    <x:t xml:space="preserve">User194</x:t>
  </x:si>
  <x:si>
    <x:t xml:space="preserve">emp194@company.com</x:t>
  </x:si>
  <x:si>
    <x:t xml:space="preserve">emp194</x:t>
  </x:si>
  <x:si>
    <x:t xml:space="preserve">BHR194</x:t>
  </x:si>
  <x:si>
    <x:t xml:space="preserve">MAC194</x:t>
  </x:si>
  <x:si>
    <x:t xml:space="preserve">XY194</x:t>
  </x:si>
  <x:si>
    <x:t xml:space="preserve">Emp195</x:t>
  </x:si>
  <x:si>
    <x:t xml:space="preserve">User195</x:t>
  </x:si>
  <x:si>
    <x:t xml:space="preserve">emp195@company.com</x:t>
  </x:si>
  <x:si>
    <x:t xml:space="preserve">emp195</x:t>
  </x:si>
  <x:si>
    <x:t xml:space="preserve">BHR195</x:t>
  </x:si>
  <x:si>
    <x:t xml:space="preserve">MAC195</x:t>
  </x:si>
  <x:si>
    <x:t xml:space="preserve">XY195</x:t>
  </x:si>
  <x:si>
    <x:t xml:space="preserve">Emp196</x:t>
  </x:si>
  <x:si>
    <x:t xml:space="preserve">User196</x:t>
  </x:si>
  <x:si>
    <x:t xml:space="preserve">emp196@company.com</x:t>
  </x:si>
  <x:si>
    <x:t xml:space="preserve">emp196</x:t>
  </x:si>
  <x:si>
    <x:t xml:space="preserve">BHR196</x:t>
  </x:si>
  <x:si>
    <x:t xml:space="preserve">MAC196</x:t>
  </x:si>
  <x:si>
    <x:t xml:space="preserve">XY196</x:t>
  </x:si>
  <x:si>
    <x:t xml:space="preserve">Emp197</x:t>
  </x:si>
  <x:si>
    <x:t xml:space="preserve">User197</x:t>
  </x:si>
  <x:si>
    <x:t xml:space="preserve">emp197@company.com</x:t>
  </x:si>
  <x:si>
    <x:t xml:space="preserve">emp197</x:t>
  </x:si>
  <x:si>
    <x:t xml:space="preserve">BHR197</x:t>
  </x:si>
  <x:si>
    <x:t xml:space="preserve">MAC197</x:t>
  </x:si>
  <x:si>
    <x:t xml:space="preserve">XY197</x:t>
  </x:si>
  <x:si>
    <x:t xml:space="preserve">Emp198</x:t>
  </x:si>
  <x:si>
    <x:t xml:space="preserve">User198</x:t>
  </x:si>
  <x:si>
    <x:t xml:space="preserve">emp198@company.com</x:t>
  </x:si>
  <x:si>
    <x:t xml:space="preserve">emp198</x:t>
  </x:si>
  <x:si>
    <x:t xml:space="preserve">BHR198</x:t>
  </x:si>
  <x:si>
    <x:t xml:space="preserve">MAC198</x:t>
  </x:si>
  <x:si>
    <x:t xml:space="preserve">XY198</x:t>
  </x:si>
  <x:si>
    <x:t xml:space="preserve">Emp199</x:t>
  </x:si>
  <x:si>
    <x:t xml:space="preserve">User199</x:t>
  </x:si>
  <x:si>
    <x:t xml:space="preserve">emp199@company.com</x:t>
  </x:si>
  <x:si>
    <x:t xml:space="preserve">emp199</x:t>
  </x:si>
  <x:si>
    <x:t xml:space="preserve">BHR199</x:t>
  </x:si>
  <x:si>
    <x:t xml:space="preserve">MAC199</x:t>
  </x:si>
  <x:si>
    <x:t xml:space="preserve">XY199</x:t>
  </x:si>
  <x:si>
    <x:t xml:space="preserve">Emp200</x:t>
  </x:si>
  <x:si>
    <x:t xml:space="preserve">User200</x:t>
  </x:si>
  <x:si>
    <x:t xml:space="preserve">emp200@company.com</x:t>
  </x:si>
  <x:si>
    <x:t xml:space="preserve">emp200</x:t>
  </x:si>
  <x:si>
    <x:t xml:space="preserve">BHR200</x:t>
  </x:si>
  <x:si>
    <x:t xml:space="preserve">MAC200</x:t>
  </x:si>
  <x:si>
    <x:t xml:space="preserve">XY200</x:t>
  </x:si>
  <x:si>
    <x:t xml:space="preserve">Emp201</x:t>
  </x:si>
  <x:si>
    <x:t xml:space="preserve">User201</x:t>
  </x:si>
  <x:si>
    <x:t xml:space="preserve">emp201@company.com</x:t>
  </x:si>
  <x:si>
    <x:t xml:space="preserve">emp201</x:t>
  </x:si>
  <x:si>
    <x:t xml:space="preserve">BHR201</x:t>
  </x:si>
  <x:si>
    <x:t xml:space="preserve">MAC201</x:t>
  </x:si>
  <x:si>
    <x:t xml:space="preserve">XY201</x:t>
  </x:si>
  <x:si>
    <x:t xml:space="preserve">Tasks</x:t>
  </x:si>
  <x:si>
    <x:t xml:space="preserve">Clean duplicates</x:t>
  </x:si>
  <x:si>
    <x:t xml:space="preserve">Resolve missing emails</x:t>
  </x:si>
  <x:si>
    <x:t xml:space="preserve">Validate source of truth</x:t>
  </x:si>
  <x:si>
    <x:t xml:space="preserve">Prepare migration-ready data</x:t>
  </x:si>
  <x:si>
    <x:t xml:space="preserve">Build Excel KPIs/Pivots</x:t>
  </x:si>
</x:sst>
</file>

<file path=xl/styles.xml><?xml version="1.0" encoding="utf-8"?>
<x:styleSheet xmlns:x="http://schemas.openxmlformats.org/spreadsheetml/2006/main">
  <x:numFmts count="3">
    <x:numFmt numFmtId="200" formatCode="dd mmm yyyy"/>
    <x:numFmt numFmtId="201" formatCode="0"/>
    <x:numFmt numFmtId="202" formatCode="0.0%"/>
  </x:numFmts>
  <x:fonts count="12">
    <x:font>
      <x:sz val="11"/>
      <x:color theme="1"/>
      <x:name val="Calibri"/>
    </x:font>
    <x:font>
      <x:b/>
      <x:sz val="20"/>
      <x:color rgb="FFFFFFFF"/>
      <x:name val="Calibri"/>
    </x:font>
    <x:font>
      <x:i/>
      <x:sz val="11"/>
      <x:color rgb="FF17365D"/>
      <x:name val="Calibri"/>
    </x:font>
    <x:font>
      <x:b/>
      <x:sz val="12"/>
      <x:color rgb="FFFFFFFF"/>
      <x:name val="Calibri"/>
    </x:font>
    <x:font>
      <x:b/>
      <x:sz val="11"/>
      <x:color rgb="FF1F1F1F"/>
      <x:name val="Calibri"/>
    </x:font>
    <x:font>
      <x:b/>
      <x:sz val="16"/>
      <x:color rgb="FFC65911"/>
      <x:name val="Calibri"/>
    </x:font>
    <x:font>
      <x:sz val="11"/>
      <x:color rgb="FF1F1F1F"/>
      <x:name val="Calibri"/>
    </x:font>
    <x:font>
      <x:b/>
      <x:sz val="11"/>
      <x:color rgb="FFFFFFFF"/>
      <x:name val="Calibri"/>
    </x:font>
    <x:font>
      <x:b/>
      <x:sz val="18"/>
      <x:color rgb="FF17365D"/>
      <x:name val="Calibri"/>
    </x:font>
    <x:font>
      <x:b/>
      <x:sz val="18"/>
      <x:color rgb="FF2E7D32"/>
      <x:name val="Calibri"/>
    </x:font>
    <x:font>
      <x:b/>
      <x:sz val="18"/>
      <x:color rgb="FFC00000"/>
      <x:name val="Calibri"/>
    </x:font>
    <x:font>
      <x:b/>
      <x:sz val="18"/>
      <x:color rgb="FFC65911"/>
      <x:name val="Calibri"/>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CE4D6"/>
      </x:patternFill>
    </x:fill>
    <x:fill>
      <x:patternFill patternType="solid">
        <x:fgColor rgb="FFF2F2F2"/>
      </x:patternFill>
    </x:fill>
    <x:fill>
      <x:patternFill patternType="solid">
        <x:fgColor rgb="FFE2F0D9"/>
      </x:patternFill>
    </x:fill>
    <x:fill>
      <x:patternFill patternType="solid">
        <x:fgColor rgb="FFF4CCCC"/>
      </x:patternFill>
    </x:fill>
    <x:fill>
      <x:patternFill patternType="solid">
        <x:fgColor rgb="FF0F6B78"/>
      </x:patternFill>
    </x:fill>
  </x:fills>
  <x:borders count="27">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top/>
      <x:bottom/>
    </x:border>
    <x:border>
      <x:top/>
      <x:bottom/>
    </x:border>
    <x:border>
      <x:right/>
      <x:top/>
      <x:bottom/>
    </x:border>
    <x:border>
      <x:left/>
      <x:top/>
      <x:bottom/>
    </x:border>
    <x:border>
      <x:top/>
      <x:bottom/>
    </x:border>
    <x:border>
      <x:right/>
      <x:top/>
      <x:bottom/>
    </x:border>
    <x:border>
      <x:left/>
      <x:right/>
      <x:top/>
    </x:border>
    <x:border>
      <x:left/>
      <x:right/>
    </x:border>
    <x:border>
      <x:left/>
      <x:right/>
      <x:bottom/>
    </x:border>
  </x:borders>
  <x:cellStyleXfs count="1">
    <x:xf numFmtId="0" fontId="0" fillId="0" borderId="0"/>
  </x:cellStyleXfs>
  <x:cellXfs count="6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3" borderId="2"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7"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2" xfId="0" applyNumberFormat="1" applyFont="1" applyFill="1" applyBorder="1" applyAlignment="1">
      <x:alignment horizontal="left" wrapText="1"/>
    </x:xf>
    <x:xf numFmtId="0" fontId="4" fillId="3" borderId="5" xfId="0" applyNumberFormat="1" applyFont="1" applyFill="1" applyBorder="1" applyAlignment="1">
      <x:alignment horizontal="left" wrapText="1"/>
    </x:xf>
    <x:xf numFmtId="0" fontId="4" fillId="3" borderId="7" xfId="0" applyNumberFormat="1" applyFont="1" applyFill="1" applyBorder="1" applyAlignment="1">
      <x:alignment horizontal="left" wrapText="1"/>
    </x:xf>
    <x:xf numFmtId="0" fontId="4" fillId="3" borderId="2" xfId="0" applyNumberFormat="1" applyFont="1" applyFill="1" applyBorder="1" applyAlignment="1">
      <x:alignment horizontal="left" vertical="center" wrapText="1"/>
    </x:xf>
    <x:xf numFmtId="0" fontId="4" fillId="3" borderId="5" xfId="0" applyNumberFormat="1" applyFont="1" applyFill="1" applyBorder="1" applyAlignment="1">
      <x:alignment horizontal="left" vertical="center" wrapText="1"/>
    </x:xf>
    <x:xf numFmtId="0" fontId="4" fillId="3" borderId="7" xfId="0" applyNumberFormat="1" applyFont="1" applyFill="1" applyBorder="1" applyAlignment="1">
      <x:alignment horizontal="left" vertical="center" wrapText="1"/>
    </x:xf>
    <x:xf numFmtId="0" fontId="0" fillId="3" borderId="10" xfId="0" applyNumberFormat="1" applyFont="1" applyFill="1" applyBorder="1" applyAlignment="1">
      <x:alignment wrapText="1"/>
    </x:xf>
    <x:xf numFmtId="0" fontId="0" fillId="3" borderId="13" xfId="0" applyNumberFormat="1" applyFont="1" applyFill="1" applyBorder="1" applyAlignment="1">
      <x:alignment wrapText="1"/>
    </x:xf>
    <x:xf numFmtId="0" fontId="0" fillId="3" borderId="15" xfId="0" applyNumberFormat="1" applyFont="1" applyFill="1" applyBorder="1" applyAlignment="1">
      <x:alignment wrapText="1"/>
    </x:xf>
    <x:xf numFmtId="0" fontId="4" fillId="3" borderId="10" xfId="0" applyNumberFormat="1" applyFont="1" applyFill="1" applyBorder="1" applyAlignment="1">
      <x:alignment wrapText="1"/>
    </x:xf>
    <x:xf numFmtId="0" fontId="4" fillId="3" borderId="13" xfId="0" applyNumberFormat="1" applyFont="1" applyFill="1" applyBorder="1" applyAlignment="1">
      <x:alignment wrapText="1"/>
    </x:xf>
    <x:xf numFmtId="0" fontId="4" fillId="3" borderId="15" xfId="0" applyNumberFormat="1" applyFont="1" applyFill="1" applyBorder="1" applyAlignment="1">
      <x:alignment wrapText="1"/>
    </x:xf>
    <x:xf numFmtId="0" fontId="4" fillId="3" borderId="10" xfId="0" applyNumberFormat="1" applyFont="1" applyFill="1" applyBorder="1" applyAlignment="1">
      <x:alignment horizontal="left" wrapText="1"/>
    </x:xf>
    <x:xf numFmtId="0" fontId="4" fillId="3" borderId="13" xfId="0" applyNumberFormat="1" applyFont="1" applyFill="1" applyBorder="1" applyAlignment="1">
      <x:alignment horizontal="left" wrapText="1"/>
    </x:xf>
    <x:xf numFmtId="0" fontId="4" fillId="3" borderId="15" xfId="0" applyNumberFormat="1" applyFont="1" applyFill="1" applyBorder="1" applyAlignment="1">
      <x:alignment horizontal="left" wrapText="1"/>
    </x:xf>
    <x:xf numFmtId="0" fontId="4" fillId="3" borderId="10" xfId="0" applyNumberFormat="1" applyFont="1" applyFill="1" applyBorder="1" applyAlignment="1">
      <x:alignment horizontal="left" vertical="center" wrapText="1"/>
    </x:xf>
    <x:xf numFmtId="0" fontId="4" fillId="3" borderId="13" xfId="0" applyNumberFormat="1" applyFont="1" applyFill="1" applyBorder="1" applyAlignment="1">
      <x:alignment horizontal="left" vertical="center" wrapText="1"/>
    </x:xf>
    <x:xf numFmtId="0" fontId="4" fillId="3" borderId="15" xfId="0" applyNumberFormat="1" applyFont="1" applyFill="1" applyBorder="1" applyAlignment="1">
      <x:alignment horizontal="left" vertical="center" wrapText="1"/>
    </x:xf>
    <x:xf numFmtId="0" fontId="0" fillId="3" borderId="3"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8"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3" xfId="0" applyNumberFormat="1" applyFont="1" applyFill="1" applyBorder="1" applyAlignment="1">
      <x:alignment horizontal="left" wrapText="1"/>
    </x:xf>
    <x:xf numFmtId="0" fontId="4" fillId="3" borderId="0" xfId="0" applyNumberFormat="1" applyFont="1" applyFill="1" applyBorder="1" applyAlignment="1">
      <x:alignment horizontal="left" wrapText="1"/>
    </x:xf>
    <x:xf numFmtId="0" fontId="4" fillId="3" borderId="8" xfId="0" applyNumberFormat="1" applyFont="1" applyFill="1" applyBorder="1" applyAlignment="1">
      <x:alignment horizontal="left" wrapText="1"/>
    </x:xf>
    <x:xf numFmtId="0" fontId="4" fillId="3" borderId="3" xfId="0" applyNumberFormat="1" applyFont="1" applyFill="1" applyBorder="1" applyAlignment="1">
      <x:alignment horizontal="left" vertical="center" wrapText="1"/>
    </x:xf>
    <x:xf numFmtId="0" fontId="4" fillId="3" borderId="0" xfId="0" applyNumberFormat="1" applyFont="1" applyFill="1" applyBorder="1" applyAlignment="1">
      <x:alignment horizontal="left" vertical="center" wrapText="1"/>
    </x:xf>
    <x:xf numFmtId="0" fontId="4" fillId="3" borderId="8" xfId="0" applyNumberFormat="1" applyFont="1" applyFill="1" applyBorder="1" applyAlignment="1">
      <x:alignment horizontal="left" vertical="center" wrapText="1"/>
    </x:xf>
    <x:xf numFmtId="0" fontId="0" fillId="3" borderId="11" xfId="0" applyNumberFormat="1" applyFont="1" applyFill="1" applyBorder="1" applyAlignment="1">
      <x:alignment wrapText="1"/>
    </x:xf>
    <x:xf numFmtId="0" fontId="0" fillId="3" borderId="1" xfId="0" applyNumberFormat="1" applyFont="1" applyFill="1" applyBorder="1" applyAlignment="1">
      <x:alignment wrapText="1"/>
    </x:xf>
    <x:xf numFmtId="0" fontId="0" fillId="3" borderId="16" xfId="0" applyNumberFormat="1" applyFont="1" applyFill="1" applyBorder="1" applyAlignment="1">
      <x:alignment wrapText="1"/>
    </x:xf>
    <x:xf numFmtId="0" fontId="4" fillId="3" borderId="11" xfId="0" applyNumberFormat="1" applyFont="1" applyFill="1" applyBorder="1" applyAlignment="1">
      <x:alignment wrapText="1"/>
    </x:xf>
    <x:xf numFmtId="0" fontId="4" fillId="3" borderId="1" xfId="0" applyNumberFormat="1" applyFont="1" applyFill="1" applyBorder="1" applyAlignment="1">
      <x:alignment wrapText="1"/>
    </x:xf>
    <x:xf numFmtId="0" fontId="4" fillId="3" borderId="16" xfId="0" applyNumberFormat="1" applyFont="1" applyFill="1" applyBorder="1" applyAlignment="1">
      <x:alignment wrapText="1"/>
    </x:xf>
    <x:xf numFmtId="0" fontId="4" fillId="3" borderId="11" xfId="0" applyNumberFormat="1" applyFont="1" applyFill="1" applyBorder="1" applyAlignment="1">
      <x:alignment horizontal="left" wrapText="1"/>
    </x:xf>
    <x:xf numFmtId="0" fontId="4" fillId="3" borderId="1" xfId="0" applyNumberFormat="1" applyFont="1" applyFill="1" applyBorder="1" applyAlignment="1">
      <x:alignment horizontal="left" wrapText="1"/>
    </x:xf>
    <x:xf numFmtId="0" fontId="4" fillId="3" borderId="16" xfId="0" applyNumberFormat="1" applyFont="1" applyFill="1" applyBorder="1" applyAlignment="1">
      <x:alignment horizontal="left" wrapText="1"/>
    </x:xf>
    <x:xf numFmtId="0" fontId="4" fillId="3" borderId="11" xfId="0" applyNumberFormat="1" applyFont="1" applyFill="1" applyBorder="1" applyAlignment="1">
      <x:alignment horizontal="left" vertical="center" wrapText="1"/>
    </x:xf>
    <x:xf numFmtId="0" fontId="4" fillId="3" borderId="1" xfId="0" applyNumberFormat="1" applyFont="1" applyFill="1" applyBorder="1" applyAlignment="1">
      <x:alignment horizontal="left" vertical="center" wrapText="1"/>
    </x:xf>
    <x:xf numFmtId="0" fontId="4" fillId="3" borderId="16" xfId="0" applyNumberFormat="1" applyFont="1" applyFill="1" applyBorder="1" applyAlignment="1">
      <x:alignment horizontal="left" vertical="center" wrapText="1"/>
    </x:xf>
    <x:xf numFmtId="200" fontId="0" fillId="0" borderId="8" xfId="0" applyNumberFormat="1" applyFont="1" applyFill="1" applyBorder="1" applyAlignment="1">
      <x:alignment wrapText="1"/>
    </x:xf>
    <x:xf numFmtId="200" fontId="0" fillId="0" borderId="16"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7" xfId="0" applyNumberFormat="1" applyFont="1" applyFill="1" applyBorder="1" applyAlignment="1">
      <x:alignment horizontal="center" wrapText="1"/>
    </x:xf>
    <x:xf numFmtId="0" fontId="5" fillId="5" borderId="8" xfId="0" applyNumberFormat="1" applyFont="1" applyFill="1" applyBorder="1" applyAlignment="1">
      <x:alignment horizontal="center" wrapText="1"/>
    </x:xf>
    <x:xf numFmtId="0" fontId="5" fillId="5" borderId="9"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5" fillId="5" borderId="8" xfId="0" applyNumberFormat="1" applyFont="1" applyFill="1" applyBorder="1" applyAlignment="1">
      <x:alignment horizontal="center" vertical="center" wrapText="1"/>
    </x:xf>
    <x:xf numFmtId="0" fontId="5" fillId="5" borderId="9" xfId="0" applyNumberFormat="1" applyFont="1" applyFill="1" applyBorder="1" applyAlignment="1">
      <x:alignment horizontal="center" vertical="center" wrapText="1"/>
    </x:xf>
    <x:xf numFmtId="0" fontId="0" fillId="5" borderId="1" xfId="0" applyNumberFormat="1" applyFont="1" applyFill="1" applyBorder="1"/>
    <x:xf numFmtId="0" fontId="5" fillId="5" borderId="1"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12" xfId="0" applyNumberFormat="1" applyFont="1" applyFill="1" applyBorder="1"/>
    <x:xf numFmtId="0" fontId="5" fillId="5" borderId="15" xfId="0" applyNumberFormat="1" applyFont="1" applyFill="1" applyBorder="1"/>
    <x:xf numFmtId="0" fontId="5" fillId="5" borderId="16" xfId="0" applyNumberFormat="1" applyFont="1" applyFill="1" applyBorder="1"/>
    <x:xf numFmtId="0" fontId="5" fillId="5" borderId="17" xfId="0" applyNumberFormat="1" applyFont="1" applyFill="1" applyBorder="1"/>
    <x:xf numFmtId="0" fontId="5" fillId="5" borderId="10" xfId="0" applyNumberFormat="1" applyFont="1" applyFill="1" applyBorder="1" applyAlignment="1">
      <x:alignment wrapText="1"/>
    </x:xf>
    <x:xf numFmtId="0" fontId="5" fillId="5" borderId="11" xfId="0" applyNumberFormat="1" applyFont="1" applyFill="1" applyBorder="1" applyAlignment="1">
      <x:alignment wrapText="1"/>
    </x:xf>
    <x:xf numFmtId="0" fontId="5" fillId="5" borderId="12" xfId="0" applyNumberFormat="1" applyFont="1" applyFill="1" applyBorder="1" applyAlignment="1">
      <x:alignment wrapText="1"/>
    </x:xf>
    <x:xf numFmtId="0" fontId="5" fillId="5" borderId="15" xfId="0" applyNumberFormat="1" applyFont="1" applyFill="1" applyBorder="1" applyAlignment="1">
      <x:alignment wrapText="1"/>
    </x:xf>
    <x:xf numFmtId="0" fontId="5" fillId="5" borderId="16" xfId="0" applyNumberFormat="1" applyFont="1" applyFill="1" applyBorder="1" applyAlignment="1">
      <x:alignment wrapText="1"/>
    </x:xf>
    <x:xf numFmtId="0" fontId="5" fillId="5" borderId="17" xfId="0" applyNumberFormat="1" applyFont="1" applyFill="1" applyBorder="1" applyAlignment="1">
      <x:alignment wrapText="1"/>
    </x:xf>
    <x:xf numFmtId="0" fontId="5" fillId="5" borderId="10" xfId="0" applyNumberFormat="1" applyFont="1" applyFill="1" applyBorder="1" applyAlignment="1">
      <x:alignment horizontal="center" wrapText="1"/>
    </x:xf>
    <x:xf numFmtId="0" fontId="5" fillId="5" borderId="11" xfId="0" applyNumberFormat="1" applyFont="1" applyFill="1" applyBorder="1" applyAlignment="1">
      <x:alignment horizontal="center" wrapText="1"/>
    </x:xf>
    <x:xf numFmtId="0" fontId="5" fillId="5" borderId="12" xfId="0" applyNumberFormat="1" applyFont="1" applyFill="1" applyBorder="1" applyAlignment="1">
      <x:alignment horizontal="center" wrapText="1"/>
    </x:xf>
    <x:xf numFmtId="0" fontId="5" fillId="5" borderId="15" xfId="0" applyNumberFormat="1" applyFont="1" applyFill="1" applyBorder="1" applyAlignment="1">
      <x:alignment horizontal="center" wrapText="1"/>
    </x:xf>
    <x:xf numFmtId="0" fontId="5" fillId="5" borderId="16" xfId="0" applyNumberFormat="1" applyFont="1" applyFill="1" applyBorder="1" applyAlignment="1">
      <x:alignment horizontal="center" wrapText="1"/>
    </x:xf>
    <x:xf numFmtId="0" fontId="5" fillId="5" borderId="17" xfId="0" applyNumberFormat="1" applyFont="1" applyFill="1" applyBorder="1" applyAlignment="1">
      <x:alignment horizontal="center" wrapText="1"/>
    </x:xf>
    <x:xf numFmtId="0" fontId="5" fillId="5" borderId="10" xfId="0" applyNumberFormat="1" applyFont="1" applyFill="1" applyBorder="1" applyAlignment="1">
      <x:alignment horizontal="center" vertical="center" wrapText="1"/>
    </x:xf>
    <x:xf numFmtId="0" fontId="5" fillId="5" borderId="11" xfId="0" applyNumberFormat="1" applyFont="1" applyFill="1" applyBorder="1" applyAlignment="1">
      <x:alignment horizontal="center" vertical="center" wrapText="1"/>
    </x:xf>
    <x:xf numFmtId="0" fontId="5" fillId="5" borderId="12" xfId="0" applyNumberFormat="1" applyFont="1" applyFill="1" applyBorder="1" applyAlignment="1">
      <x:alignment horizontal="center" vertical="center" wrapText="1"/>
    </x:xf>
    <x:xf numFmtId="0" fontId="5" fillId="5" borderId="15" xfId="0" applyNumberFormat="1" applyFont="1" applyFill="1" applyBorder="1" applyAlignment="1">
      <x:alignment horizontal="center" vertical="center" wrapText="1"/>
    </x:xf>
    <x:xf numFmtId="0" fontId="5" fillId="5" borderId="16" xfId="0" applyNumberFormat="1" applyFont="1" applyFill="1" applyBorder="1" applyAlignment="1">
      <x:alignment horizontal="center" vertical="center" wrapText="1"/>
    </x:xf>
    <x:xf numFmtId="0" fontId="5" fillId="5" borderId="17"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18" xfId="0" applyNumberFormat="1" applyFont="1" applyFill="1" applyBorder="1"/>
    <x:xf numFmtId="0" fontId="6" fillId="6" borderId="19" xfId="0" applyNumberFormat="1" applyFont="1" applyFill="1" applyBorder="1"/>
    <x:xf numFmtId="0" fontId="6" fillId="6" borderId="20" xfId="0" applyNumberFormat="1" applyFont="1" applyFill="1" applyBorder="1"/>
    <x:xf numFmtId="0" fontId="6" fillId="6" borderId="18" xfId="0" applyNumberFormat="1" applyFont="1" applyFill="1" applyBorder="1" applyAlignment="1">
      <x:alignment wrapText="1"/>
    </x:xf>
    <x:xf numFmtId="0" fontId="6" fillId="6" borderId="19" xfId="0" applyNumberFormat="1" applyFont="1" applyFill="1" applyBorder="1" applyAlignment="1">
      <x:alignment wrapText="1"/>
    </x:xf>
    <x:xf numFmtId="0" fontId="6" fillId="6" borderId="20" xfId="0" applyNumberFormat="1" applyFont="1" applyFill="1" applyBorder="1" applyAlignment="1">
      <x:alignment wrapText="1"/>
    </x:xf>
    <x:xf numFmtId="0" fontId="6" fillId="6" borderId="18" xfId="0" applyNumberFormat="1" applyFont="1" applyFill="1" applyBorder="1" applyAlignment="1">
      <x:alignment horizontal="center" wrapText="1"/>
    </x:xf>
    <x:xf numFmtId="0" fontId="6" fillId="6" borderId="19" xfId="0" applyNumberFormat="1" applyFont="1" applyFill="1" applyBorder="1" applyAlignment="1">
      <x:alignment horizontal="center" wrapText="1"/>
    </x:xf>
    <x:xf numFmtId="0" fontId="6" fillId="6" borderId="20" xfId="0" applyNumberFormat="1" applyFont="1" applyFill="1" applyBorder="1" applyAlignment="1">
      <x:alignment horizontal="center" wrapText="1"/>
    </x:xf>
    <x:xf numFmtId="0" fontId="6" fillId="6" borderId="18" xfId="0" applyNumberFormat="1" applyFont="1" applyFill="1" applyBorder="1" applyAlignment="1">
      <x:alignment horizontal="center" vertical="center" wrapText="1"/>
    </x:xf>
    <x:xf numFmtId="0" fontId="6" fillId="6" borderId="19" xfId="0" applyNumberFormat="1" applyFont="1" applyFill="1" applyBorder="1" applyAlignment="1">
      <x:alignment horizontal="center" vertical="center" wrapText="1"/>
    </x:xf>
    <x:xf numFmtId="0" fontId="6" fillId="6" borderId="20" xfId="0" applyNumberFormat="1" applyFont="1" applyFill="1" applyBorder="1" applyAlignment="1">
      <x:alignment horizontal="center" vertical="center" wrapText="1"/>
    </x:xf>
    <x:xf numFmtId="0" fontId="0" fillId="6" borderId="1" xfId="0" applyNumberFormat="1" applyFont="1" applyFill="1" applyBorder="1"/>
    <x:xf numFmtId="0" fontId="6" fillId="6" borderId="1"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3" xfId="0" applyNumberFormat="1" applyFont="1" applyFill="1" applyBorder="1"/>
    <x:xf numFmtId="0" fontId="6" fillId="6" borderId="21" xfId="0" applyNumberFormat="1" applyFont="1" applyFill="1" applyBorder="1" applyAlignment="1">
      <x:alignment wrapText="1"/>
    </x:xf>
    <x:xf numFmtId="0" fontId="6" fillId="6" borderId="22" xfId="0" applyNumberFormat="1" applyFont="1" applyFill="1" applyBorder="1" applyAlignment="1">
      <x:alignment wrapText="1"/>
    </x:xf>
    <x:xf numFmtId="0" fontId="6" fillId="6" borderId="23" xfId="0" applyNumberFormat="1" applyFont="1" applyFill="1" applyBorder="1" applyAlignment="1">
      <x:alignment wrapText="1"/>
    </x:xf>
    <x:xf numFmtId="0" fontId="6" fillId="6" borderId="21" xfId="0" applyNumberFormat="1" applyFont="1" applyFill="1" applyBorder="1" applyAlignment="1">
      <x:alignment horizontal="center" wrapText="1"/>
    </x:xf>
    <x:xf numFmtId="0" fontId="6" fillId="6" borderId="22" xfId="0" applyNumberFormat="1" applyFont="1" applyFill="1" applyBorder="1" applyAlignment="1">
      <x:alignment horizontal="center" wrapText="1"/>
    </x:xf>
    <x:xf numFmtId="0" fontId="6" fillId="6" borderId="23" xfId="0" applyNumberFormat="1" applyFont="1" applyFill="1" applyBorder="1" applyAlignment="1">
      <x:alignment horizontal="center" wrapText="1"/>
    </x:xf>
    <x:xf numFmtId="0" fontId="6" fillId="6" borderId="21" xfId="0" applyNumberFormat="1" applyFont="1" applyFill="1" applyBorder="1" applyAlignment="1">
      <x:alignment horizontal="center" vertical="center" wrapText="1"/>
    </x:xf>
    <x:xf numFmtId="0" fontId="6" fillId="6" borderId="22" xfId="0" applyNumberFormat="1" applyFont="1" applyFill="1" applyBorder="1" applyAlignment="1">
      <x:alignment horizontal="center" vertical="center" wrapText="1"/>
    </x:xf>
    <x:xf numFmtId="0" fontId="6" fillId="6" borderId="23" xfId="0" applyNumberFormat="1" applyFont="1" applyFill="1" applyBorder="1" applyAlignment="1">
      <x:alignment horizontal="center" vertical="center" wrapText="1"/>
    </x:xf>
    <x:xf numFmtId="0" fontId="7" fillId="2" borderId="0" xfId="0" applyNumberFormat="1" applyFont="1" applyFill="1" applyBorder="1"/>
    <x:xf numFmtId="0" fontId="7" fillId="2" borderId="18" xfId="0" applyNumberFormat="1" applyFont="1" applyFill="1" applyBorder="1"/>
    <x:xf numFmtId="0" fontId="7" fillId="2" borderId="19" xfId="0" applyNumberFormat="1" applyFont="1" applyFill="1" applyBorder="1"/>
    <x:xf numFmtId="0" fontId="7" fillId="2" borderId="20" xfId="0" applyNumberFormat="1" applyFont="1" applyFill="1" applyBorder="1"/>
    <x:xf numFmtId="0" fontId="7" fillId="2" borderId="18" xfId="0" applyNumberFormat="1" applyFont="1" applyFill="1" applyBorder="1" applyAlignment="1">
      <x:alignment wrapText="1"/>
    </x:xf>
    <x:xf numFmtId="0" fontId="7" fillId="2" borderId="19" xfId="0" applyNumberFormat="1" applyFont="1" applyFill="1" applyBorder="1" applyAlignment="1">
      <x:alignment wrapText="1"/>
    </x:xf>
    <x:xf numFmtId="0" fontId="7" fillId="2" borderId="20" xfId="0" applyNumberFormat="1" applyFont="1" applyFill="1" applyBorder="1" applyAlignment="1">
      <x:alignment wrapText="1"/>
    </x:xf>
    <x:xf numFmtId="0" fontId="7" fillId="2" borderId="18" xfId="0" applyNumberFormat="1" applyFont="1" applyFill="1" applyBorder="1" applyAlignment="1">
      <x:alignment horizontal="center" wrapText="1"/>
    </x:xf>
    <x:xf numFmtId="0" fontId="7" fillId="2" borderId="19" xfId="0" applyNumberFormat="1" applyFont="1" applyFill="1" applyBorder="1" applyAlignment="1">
      <x:alignment horizontal="center" wrapText="1"/>
    </x:xf>
    <x:xf numFmtId="0" fontId="7" fillId="2" borderId="20" xfId="0" applyNumberFormat="1" applyFont="1" applyFill="1" applyBorder="1" applyAlignment="1">
      <x:alignment horizontal="center" wrapText="1"/>
    </x:xf>
    <x:xf numFmtId="0" fontId="7" fillId="2" borderId="18" xfId="0" applyNumberFormat="1" applyFont="1" applyFill="1" applyBorder="1" applyAlignment="1">
      <x:alignment horizontal="center" vertical="center" wrapText="1"/>
    </x:xf>
    <x:xf numFmtId="0" fontId="7" fillId="2" borderId="19" xfId="0" applyNumberFormat="1" applyFont="1" applyFill="1" applyBorder="1" applyAlignment="1">
      <x:alignment horizontal="center" vertical="center" wrapText="1"/>
    </x:xf>
    <x:xf numFmtId="0" fontId="7" fillId="2" borderId="20" xfId="0" applyNumberFormat="1" applyFont="1" applyFill="1" applyBorder="1" applyAlignment="1">
      <x:alignment horizontal="center" vertical="center" wrapText="1"/>
    </x:xf>
    <x:xf numFmtId="0" fontId="7" fillId="2" borderId="1" xfId="0" applyNumberFormat="1" applyFont="1" applyFill="1" applyBorder="1"/>
    <x:xf numFmtId="0" fontId="7" fillId="2" borderId="21" xfId="0" applyNumberFormat="1" applyFont="1" applyFill="1" applyBorder="1"/>
    <x:xf numFmtId="0" fontId="7" fillId="2" borderId="22" xfId="0" applyNumberFormat="1" applyFont="1" applyFill="1" applyBorder="1"/>
    <x:xf numFmtId="0" fontId="7" fillId="2" borderId="23" xfId="0" applyNumberFormat="1" applyFont="1" applyFill="1" applyBorder="1"/>
    <x:xf numFmtId="0" fontId="7" fillId="2" borderId="21" xfId="0" applyNumberFormat="1" applyFont="1" applyFill="1" applyBorder="1" applyAlignment="1">
      <x:alignment wrapText="1"/>
    </x:xf>
    <x:xf numFmtId="0" fontId="7" fillId="2" borderId="22" xfId="0" applyNumberFormat="1" applyFont="1" applyFill="1" applyBorder="1" applyAlignment="1">
      <x:alignment wrapText="1"/>
    </x:xf>
    <x:xf numFmtId="0" fontId="7" fillId="2" borderId="23" xfId="0" applyNumberFormat="1" applyFont="1" applyFill="1" applyBorder="1" applyAlignment="1">
      <x:alignment wrapText="1"/>
    </x:xf>
    <x:xf numFmtId="0" fontId="7" fillId="2" borderId="21" xfId="0" applyNumberFormat="1" applyFont="1" applyFill="1" applyBorder="1" applyAlignment="1">
      <x:alignment horizontal="center" wrapText="1"/>
    </x:xf>
    <x:xf numFmtId="0" fontId="7" fillId="2" borderId="22" xfId="0" applyNumberFormat="1" applyFont="1" applyFill="1" applyBorder="1" applyAlignment="1">
      <x:alignment horizontal="center" wrapText="1"/>
    </x:xf>
    <x:xf numFmtId="0" fontId="7" fillId="2" borderId="23" xfId="0" applyNumberFormat="1" applyFont="1" applyFill="1" applyBorder="1" applyAlignment="1">
      <x:alignment horizontal="center" wrapText="1"/>
    </x:xf>
    <x:xf numFmtId="0" fontId="7" fillId="2" borderId="21" xfId="0" applyNumberFormat="1" applyFont="1" applyFill="1" applyBorder="1" applyAlignment="1">
      <x:alignment horizontal="center" vertical="center" wrapText="1"/>
    </x:xf>
    <x:xf numFmtId="0" fontId="7" fillId="2" borderId="22" xfId="0" applyNumberFormat="1" applyFont="1" applyFill="1" applyBorder="1" applyAlignment="1">
      <x:alignment horizontal="center" vertical="center" wrapText="1"/>
    </x:xf>
    <x:xf numFmtId="0" fontId="7" fillId="2" borderId="23" xfId="0" applyNumberFormat="1" applyFont="1" applyFill="1" applyBorder="1" applyAlignment="1">
      <x:alignment horizontal="center" vertical="center" wrapText="1"/>
    </x:xf>
    <x:xf numFmtId="0" fontId="8" fillId="3" borderId="0" xfId="0" applyNumberFormat="1" applyFont="1" applyFill="1" applyBorder="1"/>
    <x:xf numFmtId="0" fontId="8" fillId="3" borderId="2" xfId="0" applyNumberFormat="1" applyFont="1" applyFill="1" applyBorder="1"/>
    <x:xf numFmtId="0" fontId="8" fillId="3" borderId="3" xfId="0" applyNumberFormat="1" applyFont="1" applyFill="1" applyBorder="1"/>
    <x:xf numFmtId="0" fontId="8" fillId="3" borderId="4" xfId="0" applyNumberFormat="1" applyFont="1" applyFill="1" applyBorder="1"/>
    <x:xf numFmtId="0" fontId="8" fillId="3" borderId="7" xfId="0" applyNumberFormat="1" applyFont="1" applyFill="1" applyBorder="1"/>
    <x:xf numFmtId="0" fontId="8" fillId="3" borderId="8" xfId="0" applyNumberFormat="1" applyFont="1" applyFill="1" applyBorder="1"/>
    <x:xf numFmtId="0" fontId="8" fillId="3" borderId="9" xfId="0" applyNumberFormat="1" applyFont="1" applyFill="1" applyBorder="1"/>
    <x:xf numFmtId="0" fontId="8" fillId="3" borderId="2" xfId="0" applyNumberFormat="1" applyFont="1" applyFill="1" applyBorder="1" applyAlignment="1">
      <x:alignment horizontal="center"/>
    </x:xf>
    <x:xf numFmtId="0" fontId="8" fillId="3" borderId="3" xfId="0" applyNumberFormat="1" applyFont="1" applyFill="1" applyBorder="1" applyAlignment="1">
      <x:alignment horizontal="center"/>
    </x:xf>
    <x:xf numFmtId="0" fontId="8" fillId="3" borderId="4" xfId="0" applyNumberFormat="1" applyFont="1" applyFill="1" applyBorder="1" applyAlignment="1">
      <x:alignment horizontal="center"/>
    </x:xf>
    <x:xf numFmtId="0" fontId="8" fillId="3" borderId="7" xfId="0" applyNumberFormat="1" applyFont="1" applyFill="1" applyBorder="1" applyAlignment="1">
      <x:alignment horizontal="center"/>
    </x:xf>
    <x:xf numFmtId="0" fontId="8" fillId="3" borderId="8" xfId="0" applyNumberFormat="1" applyFont="1" applyFill="1" applyBorder="1" applyAlignment="1">
      <x:alignment horizontal="center"/>
    </x:xf>
    <x:xf numFmtId="0" fontId="8" fillId="3" borderId="9" xfId="0" applyNumberFormat="1" applyFont="1" applyFill="1" applyBorder="1" applyAlignment="1">
      <x:alignment horizontal="center"/>
    </x:xf>
    <x:xf numFmtId="0" fontId="8" fillId="3" borderId="2" xfId="0" applyNumberFormat="1" applyFont="1" applyFill="1" applyBorder="1" applyAlignment="1">
      <x:alignment horizontal="center" vertical="center"/>
    </x:xf>
    <x:xf numFmtId="0" fontId="8" fillId="3" borderId="3" xfId="0" applyNumberFormat="1" applyFont="1" applyFill="1" applyBorder="1" applyAlignment="1">
      <x:alignment horizontal="center" vertical="center"/>
    </x:xf>
    <x:xf numFmtId="0" fontId="8" fillId="3" borderId="4" xfId="0" applyNumberFormat="1" applyFont="1" applyFill="1" applyBorder="1" applyAlignment="1">
      <x:alignment horizontal="center" vertical="center"/>
    </x:xf>
    <x:xf numFmtId="0" fontId="8" fillId="3" borderId="7" xfId="0" applyNumberFormat="1" applyFont="1" applyFill="1" applyBorder="1" applyAlignment="1">
      <x:alignment horizontal="center" vertical="center"/>
    </x:xf>
    <x:xf numFmtId="0" fontId="8" fillId="3" borderId="8" xfId="0" applyNumberFormat="1" applyFont="1" applyFill="1" applyBorder="1" applyAlignment="1">
      <x:alignment horizontal="center" vertical="center"/>
    </x:xf>
    <x:xf numFmtId="0" fontId="8" fillId="3" borderId="9" xfId="0" applyNumberFormat="1" applyFont="1" applyFill="1" applyBorder="1" applyAlignment="1">
      <x:alignment horizontal="center" vertical="center"/>
    </x:xf>
    <x:xf numFmtId="0" fontId="8" fillId="3" borderId="1" xfId="0" applyNumberFormat="1" applyFont="1" applyFill="1" applyBorder="1"/>
    <x:xf numFmtId="0" fontId="8" fillId="3" borderId="10" xfId="0" applyNumberFormat="1" applyFont="1" applyFill="1" applyBorder="1"/>
    <x:xf numFmtId="0" fontId="8" fillId="3" borderId="11" xfId="0" applyNumberFormat="1" applyFont="1" applyFill="1" applyBorder="1"/>
    <x:xf numFmtId="0" fontId="8" fillId="3" borderId="12" xfId="0" applyNumberFormat="1" applyFont="1" applyFill="1" applyBorder="1"/>
    <x:xf numFmtId="0" fontId="8" fillId="3" borderId="15" xfId="0" applyNumberFormat="1" applyFont="1" applyFill="1" applyBorder="1"/>
    <x:xf numFmtId="0" fontId="8" fillId="3" borderId="16" xfId="0" applyNumberFormat="1" applyFont="1" applyFill="1" applyBorder="1"/>
    <x:xf numFmtId="0" fontId="8" fillId="3" borderId="17" xfId="0" applyNumberFormat="1" applyFont="1" applyFill="1" applyBorder="1"/>
    <x:xf numFmtId="0" fontId="8" fillId="3" borderId="10" xfId="0" applyNumberFormat="1" applyFont="1" applyFill="1" applyBorder="1" applyAlignment="1">
      <x:alignment horizontal="center"/>
    </x:xf>
    <x:xf numFmtId="0" fontId="8" fillId="3" borderId="11" xfId="0" applyNumberFormat="1" applyFont="1" applyFill="1" applyBorder="1" applyAlignment="1">
      <x:alignment horizontal="center"/>
    </x:xf>
    <x:xf numFmtId="0" fontId="8" fillId="3" borderId="12" xfId="0" applyNumberFormat="1" applyFont="1" applyFill="1" applyBorder="1" applyAlignment="1">
      <x:alignment horizontal="center"/>
    </x:xf>
    <x:xf numFmtId="0" fontId="8" fillId="3" borderId="15" xfId="0" applyNumberFormat="1" applyFont="1" applyFill="1" applyBorder="1" applyAlignment="1">
      <x:alignment horizontal="center"/>
    </x:xf>
    <x:xf numFmtId="0" fontId="8" fillId="3" borderId="16" xfId="0" applyNumberFormat="1" applyFont="1" applyFill="1" applyBorder="1" applyAlignment="1">
      <x:alignment horizontal="center"/>
    </x:xf>
    <x:xf numFmtId="0" fontId="8" fillId="3" borderId="17" xfId="0" applyNumberFormat="1" applyFont="1" applyFill="1" applyBorder="1" applyAlignment="1">
      <x:alignment horizontal="center"/>
    </x:xf>
    <x:xf numFmtId="0" fontId="8" fillId="3" borderId="10" xfId="0" applyNumberFormat="1" applyFont="1" applyFill="1" applyBorder="1" applyAlignment="1">
      <x:alignment horizontal="center" vertical="center"/>
    </x:xf>
    <x:xf numFmtId="0" fontId="8" fillId="3" borderId="11" xfId="0" applyNumberFormat="1" applyFont="1" applyFill="1" applyBorder="1" applyAlignment="1">
      <x:alignment horizontal="center" vertical="center"/>
    </x:xf>
    <x:xf numFmtId="0" fontId="8" fillId="3" borderId="12" xfId="0" applyNumberFormat="1" applyFont="1" applyFill="1" applyBorder="1" applyAlignment="1">
      <x:alignment horizontal="center" vertical="center"/>
    </x:xf>
    <x:xf numFmtId="0" fontId="8" fillId="3" borderId="15" xfId="0" applyNumberFormat="1" applyFont="1" applyFill="1" applyBorder="1" applyAlignment="1">
      <x:alignment horizontal="center" vertical="center"/>
    </x:xf>
    <x:xf numFmtId="0" fontId="8" fillId="3" borderId="16" xfId="0" applyNumberFormat="1" applyFont="1" applyFill="1" applyBorder="1" applyAlignment="1">
      <x:alignment horizontal="center" vertical="center"/>
    </x:xf>
    <x:xf numFmtId="0" fontId="8" fillId="3" borderId="17" xfId="0" applyNumberFormat="1" applyFont="1" applyFill="1" applyBorder="1" applyAlignment="1">
      <x:alignment horizontal="center" vertical="center"/>
    </x:xf>
    <x:xf numFmtId="201" fontId="8" fillId="3" borderId="2" xfId="0" applyNumberFormat="1" applyFont="1" applyFill="1" applyBorder="1" applyAlignment="1">
      <x:alignment horizontal="center" vertical="center"/>
    </x:xf>
    <x:xf numFmtId="201" fontId="8" fillId="3" borderId="3" xfId="0" applyNumberFormat="1" applyFont="1" applyFill="1" applyBorder="1" applyAlignment="1">
      <x:alignment horizontal="center" vertical="center"/>
    </x:xf>
    <x:xf numFmtId="201" fontId="8" fillId="3" borderId="4" xfId="0" applyNumberFormat="1" applyFont="1" applyFill="1" applyBorder="1" applyAlignment="1">
      <x:alignment horizontal="center" vertical="center"/>
    </x:xf>
    <x:xf numFmtId="201" fontId="8" fillId="3" borderId="7" xfId="0" applyNumberFormat="1" applyFont="1" applyFill="1" applyBorder="1" applyAlignment="1">
      <x:alignment horizontal="center" vertical="center"/>
    </x:xf>
    <x:xf numFmtId="201" fontId="8" fillId="3" borderId="8" xfId="0" applyNumberFormat="1" applyFont="1" applyFill="1" applyBorder="1" applyAlignment="1">
      <x:alignment horizontal="center" vertical="center"/>
    </x:xf>
    <x:xf numFmtId="201" fontId="8" fillId="3" borderId="9" xfId="0" applyNumberFormat="1" applyFont="1" applyFill="1" applyBorder="1" applyAlignment="1">
      <x:alignment horizontal="center" vertical="center"/>
    </x:xf>
    <x:xf numFmtId="201" fontId="8" fillId="3" borderId="10" xfId="0" applyNumberFormat="1" applyFont="1" applyFill="1" applyBorder="1" applyAlignment="1">
      <x:alignment horizontal="center" vertical="center"/>
    </x:xf>
    <x:xf numFmtId="201" fontId="8" fillId="3" borderId="11" xfId="0" applyNumberFormat="1" applyFont="1" applyFill="1" applyBorder="1" applyAlignment="1">
      <x:alignment horizontal="center" vertical="center"/>
    </x:xf>
    <x:xf numFmtId="201" fontId="8" fillId="3" borderId="12" xfId="0" applyNumberFormat="1" applyFont="1" applyFill="1" applyBorder="1" applyAlignment="1">
      <x:alignment horizontal="center" vertical="center"/>
    </x:xf>
    <x:xf numFmtId="201" fontId="8" fillId="3" borderId="15" xfId="0" applyNumberFormat="1" applyFont="1" applyFill="1" applyBorder="1" applyAlignment="1">
      <x:alignment horizontal="center" vertical="center"/>
    </x:xf>
    <x:xf numFmtId="201" fontId="8" fillId="3" borderId="16" xfId="0" applyNumberFormat="1" applyFont="1" applyFill="1" applyBorder="1" applyAlignment="1">
      <x:alignment horizontal="center" vertical="center"/>
    </x:xf>
    <x:xf numFmtId="201" fontId="8" fillId="3" borderId="17" xfId="0" applyNumberFormat="1" applyFont="1" applyFill="1" applyBorder="1" applyAlignment="1">
      <x:alignment horizontal="center" vertical="center"/>
    </x:xf>
    <x:xf numFmtId="0" fontId="0" fillId="7" borderId="0" xfId="0" applyNumberFormat="1" applyFont="1" applyFill="1" applyBorder="1"/>
    <x:xf numFmtId="0" fontId="9" fillId="7" borderId="0" xfId="0" applyNumberFormat="1" applyFont="1" applyFill="1" applyBorder="1"/>
    <x:xf numFmtId="0" fontId="9" fillId="7" borderId="2" xfId="0" applyNumberFormat="1" applyFont="1" applyFill="1" applyBorder="1"/>
    <x:xf numFmtId="0" fontId="9" fillId="7" borderId="3" xfId="0" applyNumberFormat="1" applyFont="1" applyFill="1" applyBorder="1"/>
    <x:xf numFmtId="0" fontId="9" fillId="7" borderId="4" xfId="0" applyNumberFormat="1" applyFont="1" applyFill="1" applyBorder="1"/>
    <x:xf numFmtId="0" fontId="9" fillId="7" borderId="7" xfId="0" applyNumberFormat="1" applyFont="1" applyFill="1" applyBorder="1"/>
    <x:xf numFmtId="0" fontId="9" fillId="7" borderId="8" xfId="0" applyNumberFormat="1" applyFont="1" applyFill="1" applyBorder="1"/>
    <x:xf numFmtId="0" fontId="9" fillId="7" borderId="9" xfId="0" applyNumberFormat="1" applyFont="1" applyFill="1" applyBorder="1"/>
    <x:xf numFmtId="0" fontId="9" fillId="7" borderId="2" xfId="0" applyNumberFormat="1" applyFont="1" applyFill="1" applyBorder="1" applyAlignment="1">
      <x:alignment horizontal="center"/>
    </x:xf>
    <x:xf numFmtId="0" fontId="9" fillId="7" borderId="3" xfId="0" applyNumberFormat="1" applyFont="1" applyFill="1" applyBorder="1" applyAlignment="1">
      <x:alignment horizontal="center"/>
    </x:xf>
    <x:xf numFmtId="0" fontId="9" fillId="7" borderId="4" xfId="0" applyNumberFormat="1" applyFont="1" applyFill="1" applyBorder="1" applyAlignment="1">
      <x:alignment horizontal="center"/>
    </x:xf>
    <x:xf numFmtId="0" fontId="9" fillId="7" borderId="7" xfId="0" applyNumberFormat="1" applyFont="1" applyFill="1" applyBorder="1" applyAlignment="1">
      <x:alignment horizontal="center"/>
    </x:xf>
    <x:xf numFmtId="0" fontId="9" fillId="7" borderId="8" xfId="0" applyNumberFormat="1" applyFont="1" applyFill="1" applyBorder="1" applyAlignment="1">
      <x:alignment horizontal="center"/>
    </x:xf>
    <x:xf numFmtId="0" fontId="9" fillId="7" borderId="9" xfId="0" applyNumberFormat="1" applyFont="1" applyFill="1" applyBorder="1" applyAlignment="1">
      <x:alignment horizontal="center"/>
    </x:xf>
    <x:xf numFmtId="0" fontId="9" fillId="7" borderId="2" xfId="0" applyNumberFormat="1" applyFont="1" applyFill="1" applyBorder="1" applyAlignment="1">
      <x:alignment horizontal="center" vertical="center"/>
    </x:xf>
    <x:xf numFmtId="0" fontId="9" fillId="7" borderId="3" xfId="0" applyNumberFormat="1" applyFont="1" applyFill="1" applyBorder="1" applyAlignment="1">
      <x:alignment horizontal="center" vertical="center"/>
    </x:xf>
    <x:xf numFmtId="0" fontId="9" fillId="7" borderId="4" xfId="0" applyNumberFormat="1" applyFont="1" applyFill="1" applyBorder="1" applyAlignment="1">
      <x:alignment horizontal="center" vertical="center"/>
    </x:xf>
    <x:xf numFmtId="0" fontId="9" fillId="7" borderId="7" xfId="0" applyNumberFormat="1" applyFont="1" applyFill="1" applyBorder="1" applyAlignment="1">
      <x:alignment horizontal="center" vertical="center"/>
    </x:xf>
    <x:xf numFmtId="0" fontId="9" fillId="7" borderId="8" xfId="0" applyNumberFormat="1" applyFont="1" applyFill="1" applyBorder="1" applyAlignment="1">
      <x:alignment horizontal="center" vertical="center"/>
    </x:xf>
    <x:xf numFmtId="0" fontId="9" fillId="7" borderId="9" xfId="0" applyNumberFormat="1" applyFont="1" applyFill="1" applyBorder="1" applyAlignment="1">
      <x:alignment horizontal="center" vertical="center"/>
    </x:xf>
    <x:xf numFmtId="0" fontId="0" fillId="7" borderId="1" xfId="0" applyNumberFormat="1" applyFont="1" applyFill="1" applyBorder="1"/>
    <x:xf numFmtId="0" fontId="9" fillId="7" borderId="1" xfId="0" applyNumberFormat="1" applyFont="1" applyFill="1" applyBorder="1"/>
    <x:xf numFmtId="0" fontId="9" fillId="7" borderId="10" xfId="0" applyNumberFormat="1" applyFont="1" applyFill="1" applyBorder="1"/>
    <x:xf numFmtId="0" fontId="9" fillId="7" borderId="11" xfId="0" applyNumberFormat="1" applyFont="1" applyFill="1" applyBorder="1"/>
    <x:xf numFmtId="0" fontId="9" fillId="7" borderId="12" xfId="0" applyNumberFormat="1" applyFont="1" applyFill="1" applyBorder="1"/>
    <x:xf numFmtId="0" fontId="9" fillId="7" borderId="15" xfId="0" applyNumberFormat="1" applyFont="1" applyFill="1" applyBorder="1"/>
    <x:xf numFmtId="0" fontId="9" fillId="7" borderId="16" xfId="0" applyNumberFormat="1" applyFont="1" applyFill="1" applyBorder="1"/>
    <x:xf numFmtId="0" fontId="9" fillId="7" borderId="17" xfId="0" applyNumberFormat="1" applyFont="1" applyFill="1" applyBorder="1"/>
    <x:xf numFmtId="0" fontId="9" fillId="7" borderId="10" xfId="0" applyNumberFormat="1" applyFont="1" applyFill="1" applyBorder="1" applyAlignment="1">
      <x:alignment horizontal="center"/>
    </x:xf>
    <x:xf numFmtId="0" fontId="9" fillId="7" borderId="11" xfId="0" applyNumberFormat="1" applyFont="1" applyFill="1" applyBorder="1" applyAlignment="1">
      <x:alignment horizontal="center"/>
    </x:xf>
    <x:xf numFmtId="0" fontId="9" fillId="7" borderId="12" xfId="0" applyNumberFormat="1" applyFont="1" applyFill="1" applyBorder="1" applyAlignment="1">
      <x:alignment horizontal="center"/>
    </x:xf>
    <x:xf numFmtId="0" fontId="9" fillId="7" borderId="15" xfId="0" applyNumberFormat="1" applyFont="1" applyFill="1" applyBorder="1" applyAlignment="1">
      <x:alignment horizontal="center"/>
    </x:xf>
    <x:xf numFmtId="0" fontId="9" fillId="7" borderId="16" xfId="0" applyNumberFormat="1" applyFont="1" applyFill="1" applyBorder="1" applyAlignment="1">
      <x:alignment horizontal="center"/>
    </x:xf>
    <x:xf numFmtId="0" fontId="9" fillId="7" borderId="17" xfId="0" applyNumberFormat="1" applyFont="1" applyFill="1" applyBorder="1" applyAlignment="1">
      <x:alignment horizontal="center"/>
    </x:xf>
    <x:xf numFmtId="0" fontId="9" fillId="7" borderId="10" xfId="0" applyNumberFormat="1" applyFont="1" applyFill="1" applyBorder="1" applyAlignment="1">
      <x:alignment horizontal="center" vertical="center"/>
    </x:xf>
    <x:xf numFmtId="0" fontId="9" fillId="7" borderId="11" xfId="0" applyNumberFormat="1" applyFont="1" applyFill="1" applyBorder="1" applyAlignment="1">
      <x:alignment horizontal="center" vertical="center"/>
    </x:xf>
    <x:xf numFmtId="0" fontId="9" fillId="7" borderId="12" xfId="0" applyNumberFormat="1" applyFont="1" applyFill="1" applyBorder="1" applyAlignment="1">
      <x:alignment horizontal="center" vertical="center"/>
    </x:xf>
    <x:xf numFmtId="0" fontId="9" fillId="7" borderId="15" xfId="0" applyNumberFormat="1" applyFont="1" applyFill="1" applyBorder="1" applyAlignment="1">
      <x:alignment horizontal="center" vertical="center"/>
    </x:xf>
    <x:xf numFmtId="0" fontId="9" fillId="7" borderId="16" xfId="0" applyNumberFormat="1" applyFont="1" applyFill="1" applyBorder="1" applyAlignment="1">
      <x:alignment horizontal="center" vertical="center"/>
    </x:xf>
    <x:xf numFmtId="0" fontId="9" fillId="7" borderId="17" xfId="0" applyNumberFormat="1" applyFont="1" applyFill="1" applyBorder="1" applyAlignment="1">
      <x:alignment horizontal="center" vertical="center"/>
    </x:xf>
    <x:xf numFmtId="201" fontId="9" fillId="7" borderId="2" xfId="0" applyNumberFormat="1" applyFont="1" applyFill="1" applyBorder="1" applyAlignment="1">
      <x:alignment horizontal="center" vertical="center"/>
    </x:xf>
    <x:xf numFmtId="201" fontId="9" fillId="7" borderId="3" xfId="0" applyNumberFormat="1" applyFont="1" applyFill="1" applyBorder="1" applyAlignment="1">
      <x:alignment horizontal="center" vertical="center"/>
    </x:xf>
    <x:xf numFmtId="201" fontId="9" fillId="7" borderId="4" xfId="0" applyNumberFormat="1" applyFont="1" applyFill="1" applyBorder="1" applyAlignment="1">
      <x:alignment horizontal="center" vertical="center"/>
    </x:xf>
    <x:xf numFmtId="201" fontId="9" fillId="7" borderId="7" xfId="0" applyNumberFormat="1" applyFont="1" applyFill="1" applyBorder="1" applyAlignment="1">
      <x:alignment horizontal="center" vertical="center"/>
    </x:xf>
    <x:xf numFmtId="201" fontId="9" fillId="7" borderId="8" xfId="0" applyNumberFormat="1" applyFont="1" applyFill="1" applyBorder="1" applyAlignment="1">
      <x:alignment horizontal="center" vertical="center"/>
    </x:xf>
    <x:xf numFmtId="201" fontId="9" fillId="7" borderId="9" xfId="0" applyNumberFormat="1" applyFont="1" applyFill="1" applyBorder="1" applyAlignment="1">
      <x:alignment horizontal="center" vertical="center"/>
    </x:xf>
    <x:xf numFmtId="201" fontId="9" fillId="7" borderId="10" xfId="0" applyNumberFormat="1" applyFont="1" applyFill="1" applyBorder="1" applyAlignment="1">
      <x:alignment horizontal="center" vertical="center"/>
    </x:xf>
    <x:xf numFmtId="201" fontId="9" fillId="7" borderId="11" xfId="0" applyNumberFormat="1" applyFont="1" applyFill="1" applyBorder="1" applyAlignment="1">
      <x:alignment horizontal="center" vertical="center"/>
    </x:xf>
    <x:xf numFmtId="201" fontId="9" fillId="7" borderId="12" xfId="0" applyNumberFormat="1" applyFont="1" applyFill="1" applyBorder="1" applyAlignment="1">
      <x:alignment horizontal="center" vertical="center"/>
    </x:xf>
    <x:xf numFmtId="201" fontId="9" fillId="7" borderId="15" xfId="0" applyNumberFormat="1" applyFont="1" applyFill="1" applyBorder="1" applyAlignment="1">
      <x:alignment horizontal="center" vertical="center"/>
    </x:xf>
    <x:xf numFmtId="201" fontId="9" fillId="7" borderId="16" xfId="0" applyNumberFormat="1" applyFont="1" applyFill="1" applyBorder="1" applyAlignment="1">
      <x:alignment horizontal="center" vertical="center"/>
    </x:xf>
    <x:xf numFmtId="201" fontId="9" fillId="7" borderId="17" xfId="0" applyNumberFormat="1" applyFont="1" applyFill="1" applyBorder="1" applyAlignment="1">
      <x:alignment horizontal="center" vertical="center"/>
    </x:xf>
    <x:xf numFmtId="0" fontId="0" fillId="8" borderId="0" xfId="0" applyNumberFormat="1" applyFont="1" applyFill="1" applyBorder="1"/>
    <x:xf numFmtId="0" fontId="10" fillId="8" borderId="0" xfId="0" applyNumberFormat="1" applyFont="1" applyFill="1" applyBorder="1"/>
    <x:xf numFmtId="0" fontId="10" fillId="8" borderId="2" xfId="0" applyNumberFormat="1" applyFont="1" applyFill="1" applyBorder="1"/>
    <x:xf numFmtId="0" fontId="10" fillId="8" borderId="3" xfId="0" applyNumberFormat="1" applyFont="1" applyFill="1" applyBorder="1"/>
    <x:xf numFmtId="0" fontId="10" fillId="8" borderId="4" xfId="0" applyNumberFormat="1" applyFont="1" applyFill="1" applyBorder="1"/>
    <x:xf numFmtId="0" fontId="10" fillId="8" borderId="7" xfId="0" applyNumberFormat="1" applyFont="1" applyFill="1" applyBorder="1"/>
    <x:xf numFmtId="0" fontId="10" fillId="8" borderId="8" xfId="0" applyNumberFormat="1" applyFont="1" applyFill="1" applyBorder="1"/>
    <x:xf numFmtId="0" fontId="10" fillId="8" borderId="9" xfId="0" applyNumberFormat="1" applyFont="1" applyFill="1" applyBorder="1"/>
    <x:xf numFmtId="0" fontId="10" fillId="8" borderId="2" xfId="0" applyNumberFormat="1" applyFont="1" applyFill="1" applyBorder="1" applyAlignment="1">
      <x:alignment horizontal="center"/>
    </x:xf>
    <x:xf numFmtId="0" fontId="10" fillId="8" borderId="3" xfId="0" applyNumberFormat="1" applyFont="1" applyFill="1" applyBorder="1" applyAlignment="1">
      <x:alignment horizontal="center"/>
    </x:xf>
    <x:xf numFmtId="0" fontId="10" fillId="8" borderId="4" xfId="0" applyNumberFormat="1" applyFont="1" applyFill="1" applyBorder="1" applyAlignment="1">
      <x:alignment horizontal="center"/>
    </x:xf>
    <x:xf numFmtId="0" fontId="10" fillId="8" borderId="7" xfId="0" applyNumberFormat="1" applyFont="1" applyFill="1" applyBorder="1" applyAlignment="1">
      <x:alignment horizontal="center"/>
    </x:xf>
    <x:xf numFmtId="0" fontId="10" fillId="8" borderId="8" xfId="0" applyNumberFormat="1" applyFont="1" applyFill="1" applyBorder="1" applyAlignment="1">
      <x:alignment horizontal="center"/>
    </x:xf>
    <x:xf numFmtId="0" fontId="10" fillId="8" borderId="9" xfId="0" applyNumberFormat="1" applyFont="1" applyFill="1" applyBorder="1" applyAlignment="1">
      <x:alignment horizontal="center"/>
    </x:xf>
    <x:xf numFmtId="0" fontId="10" fillId="8" borderId="2" xfId="0" applyNumberFormat="1" applyFont="1" applyFill="1" applyBorder="1" applyAlignment="1">
      <x:alignment horizontal="center" vertical="center"/>
    </x:xf>
    <x:xf numFmtId="0" fontId="10" fillId="8" borderId="3" xfId="0" applyNumberFormat="1" applyFont="1" applyFill="1" applyBorder="1" applyAlignment="1">
      <x:alignment horizontal="center" vertical="center"/>
    </x:xf>
    <x:xf numFmtId="0" fontId="10" fillId="8" borderId="4" xfId="0" applyNumberFormat="1" applyFont="1" applyFill="1" applyBorder="1" applyAlignment="1">
      <x:alignment horizontal="center" vertical="center"/>
    </x:xf>
    <x:xf numFmtId="0" fontId="10" fillId="8" borderId="7" xfId="0" applyNumberFormat="1" applyFont="1" applyFill="1" applyBorder="1" applyAlignment="1">
      <x:alignment horizontal="center" vertical="center"/>
    </x:xf>
    <x:xf numFmtId="0" fontId="10" fillId="8" borderId="8" xfId="0" applyNumberFormat="1" applyFont="1" applyFill="1" applyBorder="1" applyAlignment="1">
      <x:alignment horizontal="center" vertical="center"/>
    </x:xf>
    <x:xf numFmtId="0" fontId="10" fillId="8" borderId="9" xfId="0" applyNumberFormat="1" applyFont="1" applyFill="1" applyBorder="1" applyAlignment="1">
      <x:alignment horizontal="center" vertical="center"/>
    </x:xf>
    <x:xf numFmtId="0" fontId="0" fillId="8" borderId="1" xfId="0" applyNumberFormat="1" applyFont="1" applyFill="1" applyBorder="1"/>
    <x:xf numFmtId="0" fontId="10" fillId="8" borderId="1" xfId="0" applyNumberFormat="1" applyFont="1" applyFill="1" applyBorder="1"/>
    <x:xf numFmtId="0" fontId="10" fillId="8" borderId="10" xfId="0" applyNumberFormat="1" applyFont="1" applyFill="1" applyBorder="1"/>
    <x:xf numFmtId="0" fontId="10" fillId="8" borderId="11" xfId="0" applyNumberFormat="1" applyFont="1" applyFill="1" applyBorder="1"/>
    <x:xf numFmtId="0" fontId="10" fillId="8" borderId="12" xfId="0" applyNumberFormat="1" applyFont="1" applyFill="1" applyBorder="1"/>
    <x:xf numFmtId="0" fontId="10" fillId="8" borderId="15" xfId="0" applyNumberFormat="1" applyFont="1" applyFill="1" applyBorder="1"/>
    <x:xf numFmtId="0" fontId="10" fillId="8" borderId="16" xfId="0" applyNumberFormat="1" applyFont="1" applyFill="1" applyBorder="1"/>
    <x:xf numFmtId="0" fontId="10" fillId="8" borderId="17" xfId="0" applyNumberFormat="1" applyFont="1" applyFill="1" applyBorder="1"/>
    <x:xf numFmtId="0" fontId="10" fillId="8" borderId="10" xfId="0" applyNumberFormat="1" applyFont="1" applyFill="1" applyBorder="1" applyAlignment="1">
      <x:alignment horizontal="center"/>
    </x:xf>
    <x:xf numFmtId="0" fontId="10" fillId="8" borderId="11" xfId="0" applyNumberFormat="1" applyFont="1" applyFill="1" applyBorder="1" applyAlignment="1">
      <x:alignment horizontal="center"/>
    </x:xf>
    <x:xf numFmtId="0" fontId="10" fillId="8" borderId="12" xfId="0" applyNumberFormat="1" applyFont="1" applyFill="1" applyBorder="1" applyAlignment="1">
      <x:alignment horizontal="center"/>
    </x:xf>
    <x:xf numFmtId="0" fontId="10" fillId="8" borderId="15" xfId="0" applyNumberFormat="1" applyFont="1" applyFill="1" applyBorder="1" applyAlignment="1">
      <x:alignment horizontal="center"/>
    </x:xf>
    <x:xf numFmtId="0" fontId="10" fillId="8" borderId="16" xfId="0" applyNumberFormat="1" applyFont="1" applyFill="1" applyBorder="1" applyAlignment="1">
      <x:alignment horizontal="center"/>
    </x:xf>
    <x:xf numFmtId="0" fontId="10" fillId="8" borderId="17" xfId="0" applyNumberFormat="1" applyFont="1" applyFill="1" applyBorder="1" applyAlignment="1">
      <x:alignment horizontal="center"/>
    </x:xf>
    <x:xf numFmtId="0" fontId="10" fillId="8" borderId="10" xfId="0" applyNumberFormat="1" applyFont="1" applyFill="1" applyBorder="1" applyAlignment="1">
      <x:alignment horizontal="center" vertical="center"/>
    </x:xf>
    <x:xf numFmtId="0" fontId="10" fillId="8" borderId="11" xfId="0" applyNumberFormat="1" applyFont="1" applyFill="1" applyBorder="1" applyAlignment="1">
      <x:alignment horizontal="center" vertical="center"/>
    </x:xf>
    <x:xf numFmtId="0" fontId="10" fillId="8" borderId="12" xfId="0" applyNumberFormat="1" applyFont="1" applyFill="1" applyBorder="1" applyAlignment="1">
      <x:alignment horizontal="center" vertical="center"/>
    </x:xf>
    <x:xf numFmtId="0" fontId="10" fillId="8" borderId="15" xfId="0" applyNumberFormat="1" applyFont="1" applyFill="1" applyBorder="1" applyAlignment="1">
      <x:alignment horizontal="center" vertical="center"/>
    </x:xf>
    <x:xf numFmtId="0" fontId="10" fillId="8" borderId="16" xfId="0" applyNumberFormat="1" applyFont="1" applyFill="1" applyBorder="1" applyAlignment="1">
      <x:alignment horizontal="center" vertical="center"/>
    </x:xf>
    <x:xf numFmtId="0" fontId="10" fillId="8" borderId="17" xfId="0" applyNumberFormat="1" applyFont="1" applyFill="1" applyBorder="1" applyAlignment="1">
      <x:alignment horizontal="center" vertical="center"/>
    </x:xf>
    <x:xf numFmtId="201" fontId="10" fillId="8" borderId="2" xfId="0" applyNumberFormat="1" applyFont="1" applyFill="1" applyBorder="1" applyAlignment="1">
      <x:alignment horizontal="center" vertical="center"/>
    </x:xf>
    <x:xf numFmtId="201" fontId="10" fillId="8" borderId="3" xfId="0" applyNumberFormat="1" applyFont="1" applyFill="1" applyBorder="1" applyAlignment="1">
      <x:alignment horizontal="center" vertical="center"/>
    </x:xf>
    <x:xf numFmtId="201" fontId="10" fillId="8" borderId="4" xfId="0" applyNumberFormat="1" applyFont="1" applyFill="1" applyBorder="1" applyAlignment="1">
      <x:alignment horizontal="center" vertical="center"/>
    </x:xf>
    <x:xf numFmtId="201" fontId="10" fillId="8" borderId="7" xfId="0" applyNumberFormat="1" applyFont="1" applyFill="1" applyBorder="1" applyAlignment="1">
      <x:alignment horizontal="center" vertical="center"/>
    </x:xf>
    <x:xf numFmtId="201" fontId="10" fillId="8" borderId="8" xfId="0" applyNumberFormat="1" applyFont="1" applyFill="1" applyBorder="1" applyAlignment="1">
      <x:alignment horizontal="center" vertical="center"/>
    </x:xf>
    <x:xf numFmtId="201" fontId="10" fillId="8" borderId="9" xfId="0" applyNumberFormat="1" applyFont="1" applyFill="1" applyBorder="1" applyAlignment="1">
      <x:alignment horizontal="center" vertical="center"/>
    </x:xf>
    <x:xf numFmtId="201" fontId="10" fillId="8" borderId="10" xfId="0" applyNumberFormat="1" applyFont="1" applyFill="1" applyBorder="1" applyAlignment="1">
      <x:alignment horizontal="center" vertical="center"/>
    </x:xf>
    <x:xf numFmtId="201" fontId="10" fillId="8" borderId="11" xfId="0" applyNumberFormat="1" applyFont="1" applyFill="1" applyBorder="1" applyAlignment="1">
      <x:alignment horizontal="center" vertical="center"/>
    </x:xf>
    <x:xf numFmtId="201" fontId="10" fillId="8" borderId="12" xfId="0" applyNumberFormat="1" applyFont="1" applyFill="1" applyBorder="1" applyAlignment="1">
      <x:alignment horizontal="center" vertical="center"/>
    </x:xf>
    <x:xf numFmtId="201" fontId="10" fillId="8" borderId="15" xfId="0" applyNumberFormat="1" applyFont="1" applyFill="1" applyBorder="1" applyAlignment="1">
      <x:alignment horizontal="center" vertical="center"/>
    </x:xf>
    <x:xf numFmtId="201" fontId="10" fillId="8" borderId="16" xfId="0" applyNumberFormat="1" applyFont="1" applyFill="1" applyBorder="1" applyAlignment="1">
      <x:alignment horizontal="center" vertical="center"/>
    </x:xf>
    <x:xf numFmtId="201" fontId="10" fillId="8" borderId="17" xfId="0" applyNumberFormat="1" applyFont="1" applyFill="1" applyBorder="1" applyAlignment="1">
      <x:alignment horizontal="center" vertical="center"/>
    </x:xf>
    <x:xf numFmtId="0" fontId="11" fillId="5" borderId="0" xfId="0" applyNumberFormat="1" applyFont="1" applyFill="1" applyBorder="1"/>
    <x:xf numFmtId="0" fontId="11" fillId="5" borderId="2" xfId="0" applyNumberFormat="1" applyFont="1" applyFill="1" applyBorder="1"/>
    <x:xf numFmtId="0" fontId="11" fillId="5" borderId="3" xfId="0" applyNumberFormat="1" applyFont="1" applyFill="1" applyBorder="1"/>
    <x:xf numFmtId="0" fontId="11" fillId="5" borderId="4" xfId="0" applyNumberFormat="1" applyFont="1" applyFill="1" applyBorder="1"/>
    <x:xf numFmtId="0" fontId="11" fillId="5" borderId="7" xfId="0" applyNumberFormat="1" applyFont="1" applyFill="1" applyBorder="1"/>
    <x:xf numFmtId="0" fontId="11" fillId="5" borderId="8" xfId="0" applyNumberFormat="1" applyFont="1" applyFill="1" applyBorder="1"/>
    <x:xf numFmtId="0" fontId="11" fillId="5" borderId="9" xfId="0" applyNumberFormat="1" applyFont="1" applyFill="1" applyBorder="1"/>
    <x:xf numFmtId="0" fontId="11" fillId="5" borderId="2" xfId="0" applyNumberFormat="1" applyFont="1" applyFill="1" applyBorder="1" applyAlignment="1">
      <x:alignment horizontal="center"/>
    </x:xf>
    <x:xf numFmtId="0" fontId="11" fillId="5" borderId="3" xfId="0" applyNumberFormat="1" applyFont="1" applyFill="1" applyBorder="1" applyAlignment="1">
      <x:alignment horizontal="center"/>
    </x:xf>
    <x:xf numFmtId="0" fontId="11" fillId="5" borderId="4" xfId="0" applyNumberFormat="1" applyFont="1" applyFill="1" applyBorder="1" applyAlignment="1">
      <x:alignment horizontal="center"/>
    </x:xf>
    <x:xf numFmtId="0" fontId="11" fillId="5" borderId="7" xfId="0" applyNumberFormat="1" applyFont="1" applyFill="1" applyBorder="1" applyAlignment="1">
      <x:alignment horizontal="center"/>
    </x:xf>
    <x:xf numFmtId="0" fontId="11" fillId="5" borderId="8" xfId="0" applyNumberFormat="1" applyFont="1" applyFill="1" applyBorder="1" applyAlignment="1">
      <x:alignment horizontal="center"/>
    </x:xf>
    <x:xf numFmtId="0" fontId="11" fillId="5" borderId="9" xfId="0" applyNumberFormat="1" applyFont="1" applyFill="1" applyBorder="1" applyAlignment="1">
      <x:alignment horizontal="center"/>
    </x:xf>
    <x:xf numFmtId="0" fontId="11" fillId="5" borderId="2" xfId="0" applyNumberFormat="1" applyFont="1" applyFill="1" applyBorder="1" applyAlignment="1">
      <x:alignment horizontal="center" vertical="center"/>
    </x:xf>
    <x:xf numFmtId="0" fontId="11" fillId="5" borderId="3" xfId="0" applyNumberFormat="1" applyFont="1" applyFill="1" applyBorder="1" applyAlignment="1">
      <x:alignment horizontal="center" vertical="center"/>
    </x:xf>
    <x:xf numFmtId="0" fontId="11" fillId="5" borderId="4" xfId="0" applyNumberFormat="1" applyFont="1" applyFill="1" applyBorder="1" applyAlignment="1">
      <x:alignment horizontal="center" vertical="center"/>
    </x:xf>
    <x:xf numFmtId="0" fontId="11" fillId="5" borderId="7" xfId="0" applyNumberFormat="1" applyFont="1" applyFill="1" applyBorder="1" applyAlignment="1">
      <x:alignment horizontal="center" vertical="center"/>
    </x:xf>
    <x:xf numFmtId="0" fontId="11" fillId="5" borderId="8" xfId="0" applyNumberFormat="1" applyFont="1" applyFill="1" applyBorder="1" applyAlignment="1">
      <x:alignment horizontal="center" vertical="center"/>
    </x:xf>
    <x:xf numFmtId="0" fontId="11" fillId="5" borderId="9" xfId="0" applyNumberFormat="1" applyFont="1" applyFill="1" applyBorder="1" applyAlignment="1">
      <x:alignment horizontal="center" vertical="center"/>
    </x:xf>
    <x:xf numFmtId="0" fontId="11" fillId="5" borderId="1" xfId="0" applyNumberFormat="1" applyFont="1" applyFill="1" applyBorder="1"/>
    <x:xf numFmtId="0" fontId="11" fillId="5" borderId="10" xfId="0" applyNumberFormat="1" applyFont="1" applyFill="1" applyBorder="1"/>
    <x:xf numFmtId="0" fontId="11" fillId="5" borderId="11" xfId="0" applyNumberFormat="1" applyFont="1" applyFill="1" applyBorder="1"/>
    <x:xf numFmtId="0" fontId="11" fillId="5" borderId="12" xfId="0" applyNumberFormat="1" applyFont="1" applyFill="1" applyBorder="1"/>
    <x:xf numFmtId="0" fontId="11" fillId="5" borderId="15" xfId="0" applyNumberFormat="1" applyFont="1" applyFill="1" applyBorder="1"/>
    <x:xf numFmtId="0" fontId="11" fillId="5" borderId="16" xfId="0" applyNumberFormat="1" applyFont="1" applyFill="1" applyBorder="1"/>
    <x:xf numFmtId="0" fontId="11" fillId="5" borderId="17" xfId="0" applyNumberFormat="1" applyFont="1" applyFill="1" applyBorder="1"/>
    <x:xf numFmtId="0" fontId="11" fillId="5" borderId="10" xfId="0" applyNumberFormat="1" applyFont="1" applyFill="1" applyBorder="1" applyAlignment="1">
      <x:alignment horizontal="center"/>
    </x:xf>
    <x:xf numFmtId="0" fontId="11" fillId="5" borderId="11" xfId="0" applyNumberFormat="1" applyFont="1" applyFill="1" applyBorder="1" applyAlignment="1">
      <x:alignment horizontal="center"/>
    </x:xf>
    <x:xf numFmtId="0" fontId="11" fillId="5" borderId="12" xfId="0" applyNumberFormat="1" applyFont="1" applyFill="1" applyBorder="1" applyAlignment="1">
      <x:alignment horizontal="center"/>
    </x:xf>
    <x:xf numFmtId="0" fontId="11" fillId="5" borderId="15" xfId="0" applyNumberFormat="1" applyFont="1" applyFill="1" applyBorder="1" applyAlignment="1">
      <x:alignment horizontal="center"/>
    </x:xf>
    <x:xf numFmtId="0" fontId="11" fillId="5" borderId="16" xfId="0" applyNumberFormat="1" applyFont="1" applyFill="1" applyBorder="1" applyAlignment="1">
      <x:alignment horizontal="center"/>
    </x:xf>
    <x:xf numFmtId="0" fontId="11" fillId="5" borderId="17" xfId="0" applyNumberFormat="1" applyFont="1" applyFill="1" applyBorder="1" applyAlignment="1">
      <x:alignment horizontal="center"/>
    </x:xf>
    <x:xf numFmtId="0" fontId="11" fillId="5" borderId="10" xfId="0" applyNumberFormat="1" applyFont="1" applyFill="1" applyBorder="1" applyAlignment="1">
      <x:alignment horizontal="center" vertical="center"/>
    </x:xf>
    <x:xf numFmtId="0" fontId="11" fillId="5" borderId="11" xfId="0" applyNumberFormat="1" applyFont="1" applyFill="1" applyBorder="1" applyAlignment="1">
      <x:alignment horizontal="center" vertical="center"/>
    </x:xf>
    <x:xf numFmtId="0" fontId="11" fillId="5" borderId="12" xfId="0" applyNumberFormat="1" applyFont="1" applyFill="1" applyBorder="1" applyAlignment="1">
      <x:alignment horizontal="center" vertical="center"/>
    </x:xf>
    <x:xf numFmtId="0" fontId="11" fillId="5" borderId="15" xfId="0" applyNumberFormat="1" applyFont="1" applyFill="1" applyBorder="1" applyAlignment="1">
      <x:alignment horizontal="center" vertical="center"/>
    </x:xf>
    <x:xf numFmtId="0" fontId="11" fillId="5" borderId="16" xfId="0" applyNumberFormat="1" applyFont="1" applyFill="1" applyBorder="1" applyAlignment="1">
      <x:alignment horizontal="center" vertical="center"/>
    </x:xf>
    <x:xf numFmtId="0" fontId="11" fillId="5" borderId="17" xfId="0" applyNumberFormat="1" applyFont="1" applyFill="1" applyBorder="1" applyAlignment="1">
      <x:alignment horizontal="center" vertical="center"/>
    </x:xf>
    <x:xf numFmtId="202" fontId="11" fillId="5" borderId="2" xfId="0" applyNumberFormat="1" applyFont="1" applyFill="1" applyBorder="1" applyAlignment="1">
      <x:alignment horizontal="center" vertical="center"/>
    </x:xf>
    <x:xf numFmtId="202" fontId="11" fillId="5" borderId="3" xfId="0" applyNumberFormat="1" applyFont="1" applyFill="1" applyBorder="1" applyAlignment="1">
      <x:alignment horizontal="center" vertical="center"/>
    </x:xf>
    <x:xf numFmtId="202" fontId="11" fillId="5" borderId="4" xfId="0" applyNumberFormat="1" applyFont="1" applyFill="1" applyBorder="1" applyAlignment="1">
      <x:alignment horizontal="center" vertical="center"/>
    </x:xf>
    <x:xf numFmtId="202" fontId="11" fillId="5" borderId="7" xfId="0" applyNumberFormat="1" applyFont="1" applyFill="1" applyBorder="1" applyAlignment="1">
      <x:alignment horizontal="center" vertical="center"/>
    </x:xf>
    <x:xf numFmtId="202" fontId="11" fillId="5" borderId="8" xfId="0" applyNumberFormat="1" applyFont="1" applyFill="1" applyBorder="1" applyAlignment="1">
      <x:alignment horizontal="center" vertical="center"/>
    </x:xf>
    <x:xf numFmtId="202" fontId="11" fillId="5" borderId="9" xfId="0" applyNumberFormat="1" applyFont="1" applyFill="1" applyBorder="1" applyAlignment="1">
      <x:alignment horizontal="center" vertical="center"/>
    </x:xf>
    <x:xf numFmtId="202" fontId="11" fillId="5" borderId="10" xfId="0" applyNumberFormat="1" applyFont="1" applyFill="1" applyBorder="1" applyAlignment="1">
      <x:alignment horizontal="center" vertical="center"/>
    </x:xf>
    <x:xf numFmtId="202" fontId="11" fillId="5" borderId="11" xfId="0" applyNumberFormat="1" applyFont="1" applyFill="1" applyBorder="1" applyAlignment="1">
      <x:alignment horizontal="center" vertical="center"/>
    </x:xf>
    <x:xf numFmtId="202" fontId="11" fillId="5" borderId="12" xfId="0" applyNumberFormat="1" applyFont="1" applyFill="1" applyBorder="1" applyAlignment="1">
      <x:alignment horizontal="center" vertical="center"/>
    </x:xf>
    <x:xf numFmtId="202" fontId="11" fillId="5" borderId="15" xfId="0" applyNumberFormat="1" applyFont="1" applyFill="1" applyBorder="1" applyAlignment="1">
      <x:alignment horizontal="center" vertical="center"/>
    </x:xf>
    <x:xf numFmtId="202" fontId="11" fillId="5" borderId="16" xfId="0" applyNumberFormat="1" applyFont="1" applyFill="1" applyBorder="1" applyAlignment="1">
      <x:alignment horizontal="center" vertical="center"/>
    </x:xf>
    <x:xf numFmtId="202" fontId="11" fillId="5" borderId="17" xfId="0" applyNumberFormat="1" applyFont="1" applyFill="1" applyBorder="1" applyAlignment="1">
      <x:alignment horizontal="center" vertical="center"/>
    </x:xf>
    <x:xf numFmtId="201" fontId="11" fillId="5" borderId="2" xfId="0" applyNumberFormat="1" applyFont="1" applyFill="1" applyBorder="1" applyAlignment="1">
      <x:alignment horizontal="center" vertical="center"/>
    </x:xf>
    <x:xf numFmtId="201" fontId="11" fillId="5" borderId="3" xfId="0" applyNumberFormat="1" applyFont="1" applyFill="1" applyBorder="1" applyAlignment="1">
      <x:alignment horizontal="center" vertical="center"/>
    </x:xf>
    <x:xf numFmtId="201" fontId="11" fillId="5" borderId="4" xfId="0" applyNumberFormat="1" applyFont="1" applyFill="1" applyBorder="1" applyAlignment="1">
      <x:alignment horizontal="center" vertical="center"/>
    </x:xf>
    <x:xf numFmtId="201" fontId="11" fillId="5" borderId="7" xfId="0" applyNumberFormat="1" applyFont="1" applyFill="1" applyBorder="1" applyAlignment="1">
      <x:alignment horizontal="center" vertical="center"/>
    </x:xf>
    <x:xf numFmtId="201" fontId="11" fillId="5" borderId="8" xfId="0" applyNumberFormat="1" applyFont="1" applyFill="1" applyBorder="1" applyAlignment="1">
      <x:alignment horizontal="center" vertical="center"/>
    </x:xf>
    <x:xf numFmtId="201" fontId="11" fillId="5" borderId="9" xfId="0" applyNumberFormat="1" applyFont="1" applyFill="1" applyBorder="1" applyAlignment="1">
      <x:alignment horizontal="center" vertical="center"/>
    </x:xf>
    <x:xf numFmtId="201" fontId="11" fillId="5" borderId="10" xfId="0" applyNumberFormat="1" applyFont="1" applyFill="1" applyBorder="1" applyAlignment="1">
      <x:alignment horizontal="center" vertical="center"/>
    </x:xf>
    <x:xf numFmtId="201" fontId="11" fillId="5" borderId="11" xfId="0" applyNumberFormat="1" applyFont="1" applyFill="1" applyBorder="1" applyAlignment="1">
      <x:alignment horizontal="center" vertical="center"/>
    </x:xf>
    <x:xf numFmtId="201" fontId="11" fillId="5" borderId="12" xfId="0" applyNumberFormat="1" applyFont="1" applyFill="1" applyBorder="1" applyAlignment="1">
      <x:alignment horizontal="center" vertical="center"/>
    </x:xf>
    <x:xf numFmtId="201" fontId="11" fillId="5" borderId="15" xfId="0" applyNumberFormat="1" applyFont="1" applyFill="1" applyBorder="1" applyAlignment="1">
      <x:alignment horizontal="center" vertical="center"/>
    </x:xf>
    <x:xf numFmtId="201" fontId="11" fillId="5" borderId="16" xfId="0" applyNumberFormat="1" applyFont="1" applyFill="1" applyBorder="1" applyAlignment="1">
      <x:alignment horizontal="center" vertical="center"/>
    </x:xf>
    <x:xf numFmtId="201" fontId="11" fillId="5" borderId="17" xfId="0" applyNumberFormat="1" applyFont="1" applyFill="1" applyBorder="1" applyAlignment="1">
      <x:alignment horizontal="center" vertical="center"/>
    </x:xf>
    <x:xf numFmtId="0" fontId="6" fillId="6" borderId="2"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7" xfId="0" applyNumberFormat="1" applyFont="1" applyFill="1" applyBorder="1"/>
    <x:xf numFmtId="0" fontId="6" fillId="6" borderId="8" xfId="0" applyNumberFormat="1" applyFont="1" applyFill="1" applyBorder="1"/>
    <x:xf numFmtId="0" fontId="6" fillId="6" borderId="9" xfId="0" applyNumberFormat="1" applyFont="1" applyFill="1" applyBorder="1"/>
    <x:xf numFmtId="0" fontId="6" fillId="6" borderId="2" xfId="0" applyNumberFormat="1" applyFont="1" applyFill="1" applyBorder="1" applyAlignment="1">
      <x:alignment wrapText="1"/>
    </x:xf>
    <x:xf numFmtId="0" fontId="6" fillId="6" borderId="3" xfId="0" applyNumberFormat="1" applyFont="1" applyFill="1" applyBorder="1" applyAlignment="1">
      <x:alignment wrapText="1"/>
    </x:xf>
    <x:xf numFmtId="0" fontId="6" fillId="6" borderId="4" xfId="0" applyNumberFormat="1" applyFont="1" applyFill="1" applyBorder="1" applyAlignment="1">
      <x:alignment wrapText="1"/>
    </x:xf>
    <x:xf numFmtId="0" fontId="6" fillId="6" borderId="7" xfId="0" applyNumberFormat="1" applyFont="1" applyFill="1" applyBorder="1" applyAlignment="1">
      <x:alignment wrapText="1"/>
    </x:xf>
    <x:xf numFmtId="0" fontId="6" fillId="6" borderId="8" xfId="0" applyNumberFormat="1" applyFont="1" applyFill="1" applyBorder="1" applyAlignment="1">
      <x:alignment wrapText="1"/>
    </x:xf>
    <x:xf numFmtId="0" fontId="6" fillId="6" borderId="9" xfId="0" applyNumberFormat="1" applyFont="1" applyFill="1" applyBorder="1" applyAlignment="1">
      <x:alignment wrapText="1"/>
    </x:xf>
    <x:xf numFmtId="0" fontId="6" fillId="6" borderId="2"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6" fillId="6" borderId="7" xfId="0" applyNumberFormat="1" applyFont="1" applyFill="1" applyBorder="1" applyAlignment="1">
      <x:alignment vertical="top" wrapText="1"/>
    </x:xf>
    <x:xf numFmtId="0" fontId="6" fillId="6" borderId="8" xfId="0" applyNumberFormat="1" applyFont="1" applyFill="1" applyBorder="1" applyAlignment="1">
      <x:alignment vertical="top" wrapText="1"/>
    </x:xf>
    <x:xf numFmtId="0" fontId="6" fillId="6" borderId="9" xfId="0" applyNumberFormat="1" applyFont="1" applyFill="1" applyBorder="1" applyAlignment="1">
      <x:alignment vertical="top" wrapText="1"/>
    </x:xf>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5" xfId="0" applyNumberFormat="1" applyFont="1" applyFill="1" applyBorder="1"/>
    <x:xf numFmtId="0" fontId="6" fillId="6" borderId="16" xfId="0" applyNumberFormat="1" applyFont="1" applyFill="1" applyBorder="1"/>
    <x:xf numFmtId="0" fontId="6" fillId="6" borderId="17" xfId="0" applyNumberFormat="1" applyFont="1" applyFill="1" applyBorder="1"/>
    <x:xf numFmtId="0" fontId="6" fillId="6" borderId="10"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5" xfId="0" applyNumberFormat="1" applyFont="1" applyFill="1" applyBorder="1" applyAlignment="1">
      <x:alignment wrapText="1"/>
    </x:xf>
    <x:xf numFmtId="0" fontId="6" fillId="6" borderId="16" xfId="0" applyNumberFormat="1" applyFont="1" applyFill="1" applyBorder="1" applyAlignment="1">
      <x:alignment wrapText="1"/>
    </x:xf>
    <x:xf numFmtId="0" fontId="6" fillId="6" borderId="17" xfId="0" applyNumberFormat="1" applyFont="1" applyFill="1" applyBorder="1" applyAlignment="1">
      <x:alignment wrapText="1"/>
    </x:xf>
    <x:xf numFmtId="0" fontId="6" fillId="6" borderId="10"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6" fillId="6" borderId="12" xfId="0" applyNumberFormat="1" applyFont="1" applyFill="1" applyBorder="1" applyAlignment="1">
      <x:alignment vertical="top" wrapText="1"/>
    </x:xf>
    <x:xf numFmtId="0" fontId="6" fillId="6" borderId="15" xfId="0" applyNumberFormat="1" applyFont="1" applyFill="1" applyBorder="1" applyAlignment="1">
      <x:alignment vertical="top" wrapText="1"/>
    </x:xf>
    <x:xf numFmtId="0" fontId="6" fillId="6" borderId="16" xfId="0" applyNumberFormat="1" applyFont="1" applyFill="1" applyBorder="1" applyAlignment="1">
      <x:alignment vertical="top" wrapText="1"/>
    </x:xf>
    <x:xf numFmtId="0" fontId="6" fillId="6" borderId="17" xfId="0" applyNumberFormat="1" applyFont="1" applyFill="1" applyBorder="1" applyAlignment="1">
      <x:alignment vertical="top" wrapText="1"/>
    </x:xf>
    <x:xf numFmtId="0" fontId="0" fillId="3" borderId="2" xfId="0" applyNumberFormat="1" applyFont="1" applyFill="1" applyBorder="1"/>
    <x:xf numFmtId="0" fontId="0" fillId="3" borderId="3" xfId="0" applyNumberFormat="1" applyFont="1" applyFill="1" applyBorder="1"/>
    <x:xf numFmtId="0" fontId="0" fillId="3" borderId="5"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5" xfId="0" applyNumberFormat="1" applyFont="1" applyFill="1" applyBorder="1"/>
    <x:xf numFmtId="0" fontId="4" fillId="3" borderId="0"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0" fillId="3" borderId="10" xfId="0" applyNumberFormat="1" applyFont="1" applyFill="1" applyBorder="1"/>
    <x:xf numFmtId="0" fontId="0" fillId="3" borderId="11" xfId="0" applyNumberFormat="1" applyFont="1" applyFill="1" applyBorder="1"/>
    <x:xf numFmtId="0" fontId="0" fillId="3" borderId="13" xfId="0" applyNumberFormat="1" applyFont="1" applyFill="1" applyBorder="1"/>
    <x:xf numFmtId="0" fontId="0" fillId="3" borderId="15" xfId="0" applyNumberFormat="1" applyFont="1" applyFill="1" applyBorder="1"/>
    <x:xf numFmtId="0" fontId="0" fillId="3" borderId="16" xfId="0" applyNumberFormat="1" applyFont="1" applyFill="1" applyBorder="1"/>
    <x:xf numFmtId="0" fontId="4" fillId="3" borderId="10" xfId="0" applyNumberFormat="1" applyFont="1" applyFill="1" applyBorder="1"/>
    <x:xf numFmtId="0" fontId="4" fillId="3" borderId="11" xfId="0" applyNumberFormat="1" applyFont="1" applyFill="1" applyBorder="1"/>
    <x:xf numFmtId="0" fontId="4" fillId="3" borderId="13" xfId="0" applyNumberFormat="1" applyFont="1" applyFill="1" applyBorder="1"/>
    <x:xf numFmtId="0" fontId="4" fillId="3" borderId="1" xfId="0" applyNumberFormat="1" applyFont="1" applyFill="1" applyBorder="1"/>
    <x:xf numFmtId="0" fontId="4" fillId="3" borderId="15" xfId="0" applyNumberFormat="1" applyFont="1" applyFill="1" applyBorder="1"/>
    <x:xf numFmtId="0" fontId="4" fillId="3" borderId="16"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horizontal="center" wrapText="1"/>
    </x:xf>
    <x:xf numFmtId="0" fontId="7" fillId="9" borderId="0" xfId="0" applyNumberFormat="1" applyFont="1" applyFill="1" applyBorder="1" applyAlignment="1">
      <x:alignment horizontal="center" vertical="center" wrapText="1"/>
    </x:xf>
    <x:xf numFmtId="0" fontId="0" fillId="9" borderId="1"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wrapText="1"/>
    </x:xf>
    <x:xf numFmtId="0" fontId="7" fillId="9" borderId="1" xfId="0" applyNumberFormat="1" applyFont="1" applyFill="1" applyBorder="1" applyAlignment="1">
      <x:alignment horizontal="center" wrapText="1"/>
    </x:xf>
    <x:xf numFmtId="0" fontId="7" fillId="9" borderId="1" xfId="0" applyNumberFormat="1" applyFont="1" applyFill="1" applyBorder="1" applyAlignment="1">
      <x:alignment horizontal="center" vertical="center" wrapText="1"/>
    </x:xf>
    <x:xf numFmtId="0" fontId="7" fillId="9" borderId="2" xfId="0" applyNumberFormat="1" applyFont="1" applyFill="1" applyBorder="1" applyAlignment="1">
      <x:alignment horizontal="center" vertical="center" wrapText="1"/>
    </x:xf>
    <x:xf numFmtId="0" fontId="7" fillId="9" borderId="3" xfId="0" applyNumberFormat="1" applyFont="1" applyFill="1" applyBorder="1" applyAlignment="1">
      <x:alignment horizontal="center" vertical="center" wrapText="1"/>
    </x:xf>
    <x:xf numFmtId="0" fontId="7" fillId="9" borderId="4" xfId="0" applyNumberFormat="1" applyFont="1" applyFill="1" applyBorder="1" applyAlignment="1">
      <x:alignment horizontal="center" vertical="center" wrapText="1"/>
    </x:xf>
    <x:xf numFmtId="0" fontId="7" fillId="9" borderId="10" xfId="0" applyNumberFormat="1" applyFont="1" applyFill="1" applyBorder="1" applyAlignment="1">
      <x:alignment horizontal="center" vertical="center" wrapText="1"/>
    </x:xf>
    <x:xf numFmtId="0" fontId="7" fillId="9" borderId="11" xfId="0" applyNumberFormat="1" applyFont="1" applyFill="1" applyBorder="1" applyAlignment="1">
      <x:alignment horizontal="center" vertical="center" wrapText="1"/>
    </x:xf>
    <x:xf numFmtId="0" fontId="7" fillId="9" borderId="12" xfId="0" applyNumberFormat="1" applyFont="1" applyFill="1" applyBorder="1" applyAlignment="1">
      <x:alignment horizontal="center" vertical="center" wrapText="1"/>
    </x:xf>
    <x:xf numFmtId="0" fontId="0" fillId="0" borderId="5" xfId="0" applyNumberFormat="1" applyFont="1" applyFill="1" applyBorder="1" applyAlignment="1">
      <x:alignment wrapText="0"/>
    </x:xf>
    <x:xf numFmtId="0" fontId="0" fillId="0" borderId="0" xfId="0" applyNumberFormat="1" applyFont="1" applyFill="1" applyBorder="1" applyAlignment="1">
      <x:alignment wrapText="0"/>
    </x:xf>
    <x:xf numFmtId="0" fontId="0" fillId="0" borderId="6" xfId="0" applyNumberFormat="1" applyFont="1" applyFill="1" applyBorder="1" applyAlignment="1">
      <x:alignment wrapText="0"/>
    </x:xf>
    <x:xf numFmtId="0" fontId="0" fillId="0" borderId="7" xfId="0" applyNumberFormat="1" applyFont="1" applyFill="1" applyBorder="1" applyAlignment="1">
      <x:alignment wrapText="0"/>
    </x:xf>
    <x:xf numFmtId="0" fontId="0" fillId="0" borderId="8" xfId="0" applyNumberFormat="1" applyFont="1" applyFill="1" applyBorder="1" applyAlignment="1">
      <x:alignment wrapText="0"/>
    </x:xf>
    <x:xf numFmtId="0" fontId="0" fillId="0" borderId="9" xfId="0" applyNumberFormat="1" applyFont="1" applyFill="1" applyBorder="1" applyAlignment="1">
      <x:alignment wrapText="0"/>
    </x:xf>
    <x:xf numFmtId="0" fontId="0" fillId="0" borderId="13" xfId="0" applyNumberFormat="1" applyFont="1" applyFill="1" applyBorder="1" applyAlignment="1">
      <x:alignment wrapText="0"/>
    </x:xf>
    <x:xf numFmtId="0" fontId="0" fillId="0" borderId="1" xfId="0" applyNumberFormat="1" applyFont="1" applyFill="1" applyBorder="1" applyAlignment="1">
      <x:alignment wrapText="0"/>
    </x:xf>
    <x:xf numFmtId="0" fontId="0" fillId="0" borderId="14" xfId="0" applyNumberFormat="1" applyFont="1" applyFill="1" applyBorder="1" applyAlignment="1">
      <x:alignment wrapText="0"/>
    </x:xf>
    <x:xf numFmtId="0" fontId="0" fillId="0" borderId="15" xfId="0" applyNumberFormat="1" applyFont="1" applyFill="1" applyBorder="1" applyAlignment="1">
      <x:alignment wrapText="0"/>
    </x:xf>
    <x:xf numFmtId="0" fontId="0" fillId="0" borderId="16" xfId="0" applyNumberFormat="1" applyFont="1" applyFill="1" applyBorder="1" applyAlignment="1">
      <x:alignment wrapText="0"/>
    </x:xf>
    <x:xf numFmtId="0" fontId="0" fillId="0" borderId="17" xfId="0" applyNumberFormat="1" applyFont="1" applyFill="1" applyBorder="1" applyAlignment="1">
      <x:alignment wrapText="0"/>
    </x:xf>
    <x:xf numFmtId="202" fontId="0" fillId="0" borderId="0" xfId="0" applyNumberFormat="1" applyFont="1" applyFill="1" applyBorder="1" applyAlignment="1">
      <x:alignment wrapText="0"/>
    </x:xf>
    <x:xf numFmtId="202" fontId="0" fillId="0" borderId="8" xfId="0" applyNumberFormat="1" applyFont="1" applyFill="1" applyBorder="1" applyAlignment="1">
      <x:alignment wrapText="0"/>
    </x:xf>
    <x:xf numFmtId="202" fontId="0" fillId="0" borderId="1" xfId="0" applyNumberFormat="1" applyFont="1" applyFill="1" applyBorder="1" applyAlignment="1">
      <x:alignment wrapText="0"/>
    </x:xf>
    <x:xf numFmtId="202" fontId="0" fillId="0" borderId="16" xfId="0" applyNumberFormat="1" applyFont="1" applyFill="1" applyBorder="1" applyAlignment="1">
      <x:alignment wrapText="0"/>
    </x:xf>
    <x:xf numFmtId="202" fontId="0" fillId="0" borderId="0" xfId="0" applyNumberFormat="1" applyFont="1" applyFill="1" applyBorder="1"/>
    <x:xf numFmtId="202" fontId="0" fillId="0" borderId="1" xfId="0" applyNumberFormat="1" applyFont="1" applyFill="1" applyBorder="1"/>
    <x:xf numFmtId="202" fontId="0" fillId="0" borderId="8" xfId="0" applyNumberFormat="1" applyFont="1" applyFill="1" applyBorder="1"/>
    <x:xf numFmtId="202" fontId="0" fillId="0" borderId="16" xfId="0" applyNumberFormat="1" applyFont="1" applyFill="1" applyBorder="1"/>
    <x:xf numFmtId="202" fontId="0" fillId="0" borderId="0" xfId="0" applyNumberFormat="1" applyFont="1" applyFill="1" applyBorder="1" applyAlignment="1">
      <x:alignment wrapText="1"/>
    </x:xf>
    <x:xf numFmtId="202" fontId="0" fillId="0" borderId="8" xfId="0" applyNumberFormat="1" applyFont="1" applyFill="1" applyBorder="1" applyAlignment="1">
      <x:alignment wrapText="1"/>
    </x:xf>
    <x:xf numFmtId="202" fontId="0" fillId="0" borderId="1" xfId="0" applyNumberFormat="1" applyFont="1" applyFill="1" applyBorder="1" applyAlignment="1">
      <x:alignment wrapText="1"/>
    </x:xf>
    <x:xf numFmtId="202" fontId="0" fillId="0" borderId="16" xfId="0" applyNumberFormat="1" applyFont="1" applyFill="1" applyBorder="1" applyAlignment="1">
      <x:alignment wrapText="1"/>
    </x:xf>
    <x:xf numFmtId="0" fontId="0" fillId="6" borderId="2"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2"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5" xfId="0" applyNumberFormat="1" applyFont="1" applyFill="1" applyBorder="1"/>
    <x:xf numFmtId="0" fontId="0" fillId="6" borderId="16" xfId="0" applyNumberFormat="1" applyFont="1" applyFill="1" applyBorder="1"/>
    <x:xf numFmtId="0" fontId="0" fillId="6" borderId="17" xfId="0" applyNumberFormat="1" applyFont="1" applyFill="1" applyBorder="1"/>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5" xfId="0" applyNumberFormat="1" applyFont="1" applyFill="1" applyBorder="1" applyAlignment="1">
      <x:alignment wrapText="1"/>
    </x:xf>
    <x:xf numFmtId="0" fontId="0" fillId="6" borderId="16"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10"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6" borderId="16"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horizontal="left" vertical="center" wrapText="1"/>
    </x:xf>
    <x:xf numFmtId="201" fontId="8" fillId="3" borderId="2" xfId="0" applyNumberFormat="1" applyFont="1" applyFill="1" applyBorder="1" applyAlignment="1">
      <x:alignment horizontal="center" vertical="center" wrapText="1"/>
    </x:xf>
    <x:xf numFmtId="201" fontId="8" fillId="3" borderId="3" xfId="0" applyNumberFormat="1" applyFont="1" applyFill="1" applyBorder="1" applyAlignment="1">
      <x:alignment horizontal="center" vertical="center" wrapText="1"/>
    </x:xf>
    <x:xf numFmtId="201" fontId="8" fillId="3" borderId="4" xfId="0" applyNumberFormat="1" applyFont="1" applyFill="1" applyBorder="1" applyAlignment="1">
      <x:alignment horizontal="center" vertical="center" wrapText="1"/>
    </x:xf>
    <x:xf numFmtId="201" fontId="9" fillId="7" borderId="2" xfId="0" applyNumberFormat="1" applyFont="1" applyFill="1" applyBorder="1" applyAlignment="1">
      <x:alignment horizontal="center" vertical="center" wrapText="1"/>
    </x:xf>
    <x:xf numFmtId="201" fontId="9" fillId="7" borderId="3" xfId="0" applyNumberFormat="1" applyFont="1" applyFill="1" applyBorder="1" applyAlignment="1">
      <x:alignment horizontal="center" vertical="center" wrapText="1"/>
    </x:xf>
    <x:xf numFmtId="201" fontId="9" fillId="7" borderId="4" xfId="0" applyNumberFormat="1" applyFont="1" applyFill="1" applyBorder="1" applyAlignment="1">
      <x:alignment horizontal="center" vertical="center" wrapText="1"/>
    </x:xf>
    <x:xf numFmtId="201" fontId="10" fillId="8" borderId="2" xfId="0" applyNumberFormat="1" applyFont="1" applyFill="1" applyBorder="1" applyAlignment="1">
      <x:alignment horizontal="center" vertical="center" wrapText="1"/>
    </x:xf>
    <x:xf numFmtId="201" fontId="10" fillId="8" borderId="3" xfId="0" applyNumberFormat="1" applyFont="1" applyFill="1" applyBorder="1" applyAlignment="1">
      <x:alignment horizontal="center" vertical="center" wrapText="1"/>
    </x:xf>
    <x:xf numFmtId="201" fontId="10" fillId="8" borderId="4" xfId="0" applyNumberFormat="1" applyFont="1" applyFill="1" applyBorder="1" applyAlignment="1">
      <x:alignment horizontal="center" vertical="center" wrapText="1"/>
    </x:xf>
    <x:xf numFmtId="202" fontId="11" fillId="5" borderId="2" xfId="0" applyNumberFormat="1" applyFont="1" applyFill="1" applyBorder="1" applyAlignment="1">
      <x:alignment horizontal="center" vertical="center" wrapText="1"/>
    </x:xf>
    <x:xf numFmtId="202" fontId="11" fillId="5" borderId="3" xfId="0" applyNumberFormat="1" applyFont="1" applyFill="1" applyBorder="1" applyAlignment="1">
      <x:alignment horizontal="center" vertical="center" wrapText="1"/>
    </x:xf>
    <x:xf numFmtId="202" fontId="11" fillId="5" borderId="4" xfId="0" applyNumberFormat="1" applyFont="1" applyFill="1" applyBorder="1" applyAlignment="1">
      <x:alignment horizontal="center" vertical="center" wrapText="1"/>
    </x:xf>
    <x:xf numFmtId="201" fontId="8" fillId="3" borderId="7" xfId="0" applyNumberFormat="1" applyFont="1" applyFill="1" applyBorder="1" applyAlignment="1">
      <x:alignment horizontal="center" vertical="center" wrapText="1"/>
    </x:xf>
    <x:xf numFmtId="201" fontId="8" fillId="3" borderId="8" xfId="0" applyNumberFormat="1" applyFont="1" applyFill="1" applyBorder="1" applyAlignment="1">
      <x:alignment horizontal="center" vertical="center" wrapText="1"/>
    </x:xf>
    <x:xf numFmtId="201" fontId="8" fillId="3" borderId="9" xfId="0" applyNumberFormat="1" applyFont="1" applyFill="1" applyBorder="1" applyAlignment="1">
      <x:alignment horizontal="center" vertical="center" wrapText="1"/>
    </x:xf>
    <x:xf numFmtId="201" fontId="9" fillId="7" borderId="7" xfId="0" applyNumberFormat="1" applyFont="1" applyFill="1" applyBorder="1" applyAlignment="1">
      <x:alignment horizontal="center" vertical="center" wrapText="1"/>
    </x:xf>
    <x:xf numFmtId="201" fontId="9" fillId="7" borderId="8" xfId="0" applyNumberFormat="1" applyFont="1" applyFill="1" applyBorder="1" applyAlignment="1">
      <x:alignment horizontal="center" vertical="center" wrapText="1"/>
    </x:xf>
    <x:xf numFmtId="201" fontId="9" fillId="7" borderId="9" xfId="0" applyNumberFormat="1" applyFont="1" applyFill="1" applyBorder="1" applyAlignment="1">
      <x:alignment horizontal="center" vertical="center" wrapText="1"/>
    </x:xf>
    <x:xf numFmtId="201" fontId="10" fillId="8" borderId="7" xfId="0" applyNumberFormat="1" applyFont="1" applyFill="1" applyBorder="1" applyAlignment="1">
      <x:alignment horizontal="center" vertical="center" wrapText="1"/>
    </x:xf>
    <x:xf numFmtId="201" fontId="10" fillId="8" borderId="8" xfId="0" applyNumberFormat="1" applyFont="1" applyFill="1" applyBorder="1" applyAlignment="1">
      <x:alignment horizontal="center" vertical="center" wrapText="1"/>
    </x:xf>
    <x:xf numFmtId="201" fontId="10" fillId="8" borderId="9" xfId="0" applyNumberFormat="1" applyFont="1" applyFill="1" applyBorder="1" applyAlignment="1">
      <x:alignment horizontal="center" vertical="center" wrapText="1"/>
    </x:xf>
    <x:xf numFmtId="202" fontId="11" fillId="5" borderId="7" xfId="0" applyNumberFormat="1" applyFont="1" applyFill="1" applyBorder="1" applyAlignment="1">
      <x:alignment horizontal="center" vertical="center" wrapText="1"/>
    </x:xf>
    <x:xf numFmtId="202" fontId="11" fillId="5" borderId="8" xfId="0" applyNumberFormat="1" applyFont="1" applyFill="1" applyBorder="1" applyAlignment="1">
      <x:alignment horizontal="center" vertical="center" wrapText="1"/>
    </x:xf>
    <x:xf numFmtId="202" fontId="11" fillId="5" borderId="9" xfId="0" applyNumberFormat="1" applyFont="1" applyFill="1" applyBorder="1" applyAlignment="1">
      <x:alignment horizontal="center" vertical="center" wrapText="1"/>
    </x:xf>
    <x:xf numFmtId="201" fontId="11" fillId="5" borderId="2" xfId="0" applyNumberFormat="1" applyFont="1" applyFill="1" applyBorder="1" applyAlignment="1">
      <x:alignment horizontal="center" vertical="center" wrapText="1"/>
    </x:xf>
    <x:xf numFmtId="201" fontId="11" fillId="5" borderId="3" xfId="0" applyNumberFormat="1" applyFont="1" applyFill="1" applyBorder="1" applyAlignment="1">
      <x:alignment horizontal="center" vertical="center" wrapText="1"/>
    </x:xf>
    <x:xf numFmtId="201" fontId="11" fillId="5" borderId="4" xfId="0" applyNumberFormat="1" applyFont="1" applyFill="1" applyBorder="1" applyAlignment="1">
      <x:alignment horizontal="center" vertical="center" wrapText="1"/>
    </x:xf>
    <x:xf numFmtId="201" fontId="11" fillId="5" borderId="7" xfId="0" applyNumberFormat="1" applyFont="1" applyFill="1" applyBorder="1" applyAlignment="1">
      <x:alignment horizontal="center" vertical="center" wrapText="1"/>
    </x:xf>
    <x:xf numFmtId="201" fontId="11" fillId="5" borderId="8" xfId="0" applyNumberFormat="1" applyFont="1" applyFill="1" applyBorder="1" applyAlignment="1">
      <x:alignment horizontal="center" vertical="center" wrapText="1"/>
    </x:xf>
    <x:xf numFmtId="201" fontId="11" fillId="5" borderId="9" xfId="0" applyNumberFormat="1" applyFont="1" applyFill="1" applyBorder="1" applyAlignment="1">
      <x:alignment horizontal="center" vertical="center"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vertical="center" wrapText="1"/>
    </x:xf>
    <x:xf numFmtId="0" fontId="3" fillId="4" borderId="1" xfId="0" applyNumberFormat="1" applyFont="1" applyFill="1" applyBorder="1" applyAlignment="1">
      <x:alignment horizontal="left" vertical="center" wrapText="1"/>
    </x:xf>
    <x:xf numFmtId="201" fontId="8" fillId="3" borderId="10" xfId="0" applyNumberFormat="1" applyFont="1" applyFill="1" applyBorder="1" applyAlignment="1">
      <x:alignment horizontal="center" vertical="center" wrapText="1"/>
    </x:xf>
    <x:xf numFmtId="201" fontId="8" fillId="3" borderId="11" xfId="0" applyNumberFormat="1" applyFont="1" applyFill="1" applyBorder="1" applyAlignment="1">
      <x:alignment horizontal="center" vertical="center" wrapText="1"/>
    </x:xf>
    <x:xf numFmtId="201" fontId="8" fillId="3" borderId="12" xfId="0" applyNumberFormat="1" applyFont="1" applyFill="1" applyBorder="1" applyAlignment="1">
      <x:alignment horizontal="center" vertical="center" wrapText="1"/>
    </x:xf>
    <x:xf numFmtId="201" fontId="9" fillId="7" borderId="10" xfId="0" applyNumberFormat="1" applyFont="1" applyFill="1" applyBorder="1" applyAlignment="1">
      <x:alignment horizontal="center" vertical="center" wrapText="1"/>
    </x:xf>
    <x:xf numFmtId="201" fontId="9" fillId="7" borderId="11" xfId="0" applyNumberFormat="1" applyFont="1" applyFill="1" applyBorder="1" applyAlignment="1">
      <x:alignment horizontal="center" vertical="center" wrapText="1"/>
    </x:xf>
    <x:xf numFmtId="201" fontId="9" fillId="7" borderId="12" xfId="0" applyNumberFormat="1" applyFont="1" applyFill="1" applyBorder="1" applyAlignment="1">
      <x:alignment horizontal="center" vertical="center" wrapText="1"/>
    </x:xf>
    <x:xf numFmtId="201" fontId="10" fillId="8" borderId="10" xfId="0" applyNumberFormat="1" applyFont="1" applyFill="1" applyBorder="1" applyAlignment="1">
      <x:alignment horizontal="center" vertical="center" wrapText="1"/>
    </x:xf>
    <x:xf numFmtId="201" fontId="10" fillId="8" borderId="11" xfId="0" applyNumberFormat="1" applyFont="1" applyFill="1" applyBorder="1" applyAlignment="1">
      <x:alignment horizontal="center" vertical="center" wrapText="1"/>
    </x:xf>
    <x:xf numFmtId="201" fontId="10" fillId="8" borderId="12" xfId="0" applyNumberFormat="1" applyFont="1" applyFill="1" applyBorder="1" applyAlignment="1">
      <x:alignment horizontal="center" vertical="center" wrapText="1"/>
    </x:xf>
    <x:xf numFmtId="202" fontId="11" fillId="5" borderId="10" xfId="0" applyNumberFormat="1" applyFont="1" applyFill="1" applyBorder="1" applyAlignment="1">
      <x:alignment horizontal="center" vertical="center" wrapText="1"/>
    </x:xf>
    <x:xf numFmtId="202" fontId="11" fillId="5" borderId="11" xfId="0" applyNumberFormat="1" applyFont="1" applyFill="1" applyBorder="1" applyAlignment="1">
      <x:alignment horizontal="center" vertical="center" wrapText="1"/>
    </x:xf>
    <x:xf numFmtId="202" fontId="11" fillId="5" borderId="12" xfId="0" applyNumberFormat="1" applyFont="1" applyFill="1" applyBorder="1" applyAlignment="1">
      <x:alignment horizontal="center" vertical="center" wrapText="1"/>
    </x:xf>
    <x:xf numFmtId="201" fontId="8" fillId="3" borderId="15" xfId="0" applyNumberFormat="1" applyFont="1" applyFill="1" applyBorder="1" applyAlignment="1">
      <x:alignment horizontal="center" vertical="center" wrapText="1"/>
    </x:xf>
    <x:xf numFmtId="201" fontId="8" fillId="3" borderId="16" xfId="0" applyNumberFormat="1" applyFont="1" applyFill="1" applyBorder="1" applyAlignment="1">
      <x:alignment horizontal="center" vertical="center" wrapText="1"/>
    </x:xf>
    <x:xf numFmtId="201" fontId="8" fillId="3" borderId="17" xfId="0" applyNumberFormat="1" applyFont="1" applyFill="1" applyBorder="1" applyAlignment="1">
      <x:alignment horizontal="center" vertical="center" wrapText="1"/>
    </x:xf>
    <x:xf numFmtId="201" fontId="9" fillId="7" borderId="15" xfId="0" applyNumberFormat="1" applyFont="1" applyFill="1" applyBorder="1" applyAlignment="1">
      <x:alignment horizontal="center" vertical="center" wrapText="1"/>
    </x:xf>
    <x:xf numFmtId="201" fontId="9" fillId="7" borderId="16" xfId="0" applyNumberFormat="1" applyFont="1" applyFill="1" applyBorder="1" applyAlignment="1">
      <x:alignment horizontal="center" vertical="center" wrapText="1"/>
    </x:xf>
    <x:xf numFmtId="201" fontId="9" fillId="7" borderId="17" xfId="0" applyNumberFormat="1" applyFont="1" applyFill="1" applyBorder="1" applyAlignment="1">
      <x:alignment horizontal="center" vertical="center" wrapText="1"/>
    </x:xf>
    <x:xf numFmtId="201" fontId="10" fillId="8" borderId="15" xfId="0" applyNumberFormat="1" applyFont="1" applyFill="1" applyBorder="1" applyAlignment="1">
      <x:alignment horizontal="center" vertical="center" wrapText="1"/>
    </x:xf>
    <x:xf numFmtId="201" fontId="10" fillId="8" borderId="16" xfId="0" applyNumberFormat="1" applyFont="1" applyFill="1" applyBorder="1" applyAlignment="1">
      <x:alignment horizontal="center" vertical="center" wrapText="1"/>
    </x:xf>
    <x:xf numFmtId="201" fontId="10" fillId="8" borderId="17" xfId="0" applyNumberFormat="1" applyFont="1" applyFill="1" applyBorder="1" applyAlignment="1">
      <x:alignment horizontal="center" vertical="center" wrapText="1"/>
    </x:xf>
    <x:xf numFmtId="202" fontId="11" fillId="5" borderId="15" xfId="0" applyNumberFormat="1" applyFont="1" applyFill="1" applyBorder="1" applyAlignment="1">
      <x:alignment horizontal="center" vertical="center" wrapText="1"/>
    </x:xf>
    <x:xf numFmtId="202" fontId="11" fillId="5" borderId="16" xfId="0" applyNumberFormat="1" applyFont="1" applyFill="1" applyBorder="1" applyAlignment="1">
      <x:alignment horizontal="center" vertical="center" wrapText="1"/>
    </x:xf>
    <x:xf numFmtId="202" fontId="11" fillId="5" borderId="17" xfId="0" applyNumberFormat="1" applyFont="1" applyFill="1" applyBorder="1" applyAlignment="1">
      <x:alignment horizontal="center" vertical="center" wrapText="1"/>
    </x:xf>
    <x:xf numFmtId="201" fontId="11" fillId="5" borderId="10" xfId="0" applyNumberFormat="1" applyFont="1" applyFill="1" applyBorder="1" applyAlignment="1">
      <x:alignment horizontal="center" vertical="center" wrapText="1"/>
    </x:xf>
    <x:xf numFmtId="201" fontId="11" fillId="5" borderId="11" xfId="0" applyNumberFormat="1" applyFont="1" applyFill="1" applyBorder="1" applyAlignment="1">
      <x:alignment horizontal="center" vertical="center" wrapText="1"/>
    </x:xf>
    <x:xf numFmtId="201" fontId="11" fillId="5" borderId="12" xfId="0" applyNumberFormat="1" applyFont="1" applyFill="1" applyBorder="1" applyAlignment="1">
      <x:alignment horizontal="center" vertical="center" wrapText="1"/>
    </x:xf>
    <x:xf numFmtId="201" fontId="11" fillId="5" borderId="15" xfId="0" applyNumberFormat="1" applyFont="1" applyFill="1" applyBorder="1" applyAlignment="1">
      <x:alignment horizontal="center" vertical="center" wrapText="1"/>
    </x:xf>
    <x:xf numFmtId="201" fontId="11" fillId="5" borderId="16" xfId="0" applyNumberFormat="1" applyFont="1" applyFill="1" applyBorder="1" applyAlignment="1">
      <x:alignment horizontal="center" vertical="center" wrapText="1"/>
    </x:xf>
    <x:xf numFmtId="201" fontId="11" fillId="5" borderId="17" xfId="0" applyNumberFormat="1" applyFont="1" applyFill="1" applyBorder="1" applyAlignment="1">
      <x:alignment horizontal="center" vertical="center" wrapText="1"/>
    </x:xf>
    <x:xf numFmtId="0" fontId="0" fillId="9" borderId="2" xfId="0" applyNumberFormat="1" applyFont="1" applyFill="1" applyBorder="1"/>
    <x:xf numFmtId="0" fontId="0" fillId="9" borderId="4" xfId="0" applyNumberFormat="1" applyFont="1" applyFill="1" applyBorder="1"/>
    <x:xf numFmtId="0" fontId="7" fillId="9" borderId="2" xfId="0" applyNumberFormat="1" applyFont="1" applyFill="1" applyBorder="1"/>
    <x:xf numFmtId="0" fontId="7" fillId="9" borderId="4" xfId="0" applyNumberFormat="1" applyFont="1" applyFill="1" applyBorder="1"/>
    <x:xf numFmtId="0" fontId="7" fillId="9" borderId="2" xfId="0" applyNumberFormat="1" applyFont="1" applyFill="1" applyBorder="1" applyAlignment="1">
      <x:alignment wrapText="1"/>
    </x:xf>
    <x:xf numFmtId="0" fontId="7" fillId="9" borderId="4" xfId="0" applyNumberFormat="1" applyFont="1" applyFill="1" applyBorder="1" applyAlignment="1">
      <x:alignment wrapText="1"/>
    </x:xf>
    <x:xf numFmtId="0" fontId="7" fillId="9" borderId="2" xfId="0" applyNumberFormat="1" applyFont="1" applyFill="1" applyBorder="1" applyAlignment="1">
      <x:alignment horizontal="center" wrapText="1"/>
    </x:xf>
    <x:xf numFmtId="0" fontId="7" fillId="9" borderId="4" xfId="0" applyNumberFormat="1" applyFont="1" applyFill="1" applyBorder="1" applyAlignment="1">
      <x:alignment horizontal="center" wrapText="1"/>
    </x:xf>
    <x:xf numFmtId="0" fontId="0" fillId="9" borderId="10" xfId="0" applyNumberFormat="1" applyFont="1" applyFill="1" applyBorder="1"/>
    <x:xf numFmtId="0" fontId="0" fillId="9" borderId="12" xfId="0" applyNumberFormat="1" applyFont="1" applyFill="1" applyBorder="1"/>
    <x:xf numFmtId="0" fontId="7" fillId="9" borderId="10" xfId="0" applyNumberFormat="1" applyFont="1" applyFill="1" applyBorder="1"/>
    <x:xf numFmtId="0" fontId="7" fillId="9" borderId="12" xfId="0" applyNumberFormat="1" applyFont="1" applyFill="1" applyBorder="1"/>
    <x:xf numFmtId="0" fontId="7" fillId="9" borderId="10" xfId="0" applyNumberFormat="1" applyFont="1" applyFill="1" applyBorder="1" applyAlignment="1">
      <x:alignment wrapText="1"/>
    </x:xf>
    <x:xf numFmtId="0" fontId="7" fillId="9" borderId="12" xfId="0" applyNumberFormat="1" applyFont="1" applyFill="1" applyBorder="1" applyAlignment="1">
      <x:alignment wrapText="1"/>
    </x:xf>
    <x:xf numFmtId="0" fontId="7" fillId="9" borderId="10" xfId="0" applyNumberFormat="1" applyFont="1" applyFill="1" applyBorder="1" applyAlignment="1">
      <x:alignment horizontal="center" wrapText="1"/>
    </x:xf>
    <x:xf numFmtId="0" fontId="7" fillId="9" borderId="12" xfId="0" applyNumberFormat="1" applyFont="1" applyFill="1" applyBorder="1" applyAlignment="1">
      <x:alignment horizontal="center" wrapText="1"/>
    </x:xf>
    <x:xf numFmtId="0" fontId="7" fillId="9" borderId="24" xfId="0" applyNumberFormat="1" applyFont="1" applyFill="1" applyBorder="1" applyAlignment="1">
      <x:alignment horizontal="center" vertical="center" wrapText="1"/>
    </x:xf>
    <x:xf numFmtId="0" fontId="0" fillId="0" borderId="25" xfId="0" applyNumberFormat="1" applyFont="1" applyFill="1" applyBorder="1"/>
    <x:xf numFmtId="0" fontId="0" fillId="0" borderId="26" xfId="0" applyNumberFormat="1" applyFont="1" applyFill="1" applyBorder="1"/>
  </x:cellXfs>
  <x:cellStyles count="1">
    <x:cellStyle name="Normal" xfId="0"/>
  </x:cellStyles>
  <x:dxfs count="10">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ont>
        <x:color rgb="FFC65911"/>
      </x:font>
      <x:fill>
        <x:patternFill patternType="solid">
          <x:bgColor rgb="FFFCE4D6"/>
        </x:patternFill>
      </x:fill>
    </x:dxf>
    <x:dxf>
      <x:font>
        <x:b/>
        <x:color rgb="FFC00000"/>
      </x:font>
      <x:fill>
        <x:patternFill patternType="solid">
          <x:bgColor rgb="FFF4CCCC"/>
        </x:patternFill>
      </x:fill>
    </x:dxf>
    <x:dxf>
      <x:font>
        <x:b/>
        <x:color rgb="FF2E7D32"/>
      </x:font>
      <x:fill>
        <x:patternFill patternType="solid">
          <x:bgColor rgb="FFE2F0D9"/>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2E7D32"/>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39f56999874f3b" /><Relationship Type="http://schemas.openxmlformats.org/officeDocument/2006/relationships/theme" Target="/xl/theme/theme1.xml" Id="R8f37db1cd8eb4556" /><Relationship Type="http://schemas.openxmlformats.org/officeDocument/2006/relationships/sharedStrings" Target="/xl/sharedStrings.xml" Id="Re409d53215784f73" /><Relationship Type="http://schemas.openxmlformats.org/officeDocument/2006/relationships/worksheet" Target="/xl/worksheets/sheet1.xml" Id="Red9d44e4e12d4b9a" /><Relationship Type="http://schemas.openxmlformats.org/officeDocument/2006/relationships/worksheet" Target="/xl/worksheets/sheet2.xml" Id="R9ef0a952be4c4760" /><Relationship Type="http://schemas.openxmlformats.org/officeDocument/2006/relationships/worksheet" Target="/xl/worksheets/sheet3.xml" Id="R19acb625db504eb2" /><Relationship Type="http://schemas.openxmlformats.org/officeDocument/2006/relationships/worksheet" Target="/xl/worksheets/sheet4.xml" Id="Rf4d6e34cd73d48cc" /><Relationship Type="http://schemas.openxmlformats.org/officeDocument/2006/relationships/worksheet" Target="/xl/worksheets/sheet5.xml" Id="Rb223455a666545d6" /><Relationship Type="http://schemas.openxmlformats.org/officeDocument/2006/relationships/worksheet" Target="/xl/worksheets/sheet6.xml" Id="R8724370b6a884328" /><Relationship Type="http://schemas.openxmlformats.org/officeDocument/2006/relationships/worksheet" Target="/xl/worksheets/sheet7.xml" Id="Rd6f0a765bc5c4567" /><Relationship Type="http://schemas.openxmlformats.org/officeDocument/2006/relationships/worksheet" Target="/xl/worksheets/sheet8.xml" Id="Rf0e8ad68fc5b4b62" /></Relationships>
</file>

<file path=xl/drawings/_rels/drawing1.xml.rels>&#65279;<?xml version="1.0" encoding="utf-8"?><Relationships xmlns="http://schemas.openxmlformats.org/package/2006/relationships"><Relationship Type="http://schemas.openxmlformats.org/officeDocument/2006/relationships/chart" Target="/xl/drawings/charts/chart1.xml" Id="Rb6c2e1adbaa84c80" /><Relationship Type="http://schemas.openxmlformats.org/officeDocument/2006/relationships/chart" Target="/xl/drawings/charts/chart2.xml" Id="R03c40e1037f74b1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Affected Records by Issue Category</a:t>
            </a:r>
          </a:p>
        </c:rich>
      </c:tx>
      <c:overlay val="0"/>
    </c:title>
    <c:autoTitleDeleted val="0"/>
    <c:plotArea>
      <c:layout/>
      <c:barChart>
        <c:barDir val="col"/>
        <c:varyColors val="0"/>
        <c:ser>
          <c:idx val="0"/>
          <c:order val="0"/>
          <c:tx>
            <c:v>Affected Records</c:v>
          </c:tx>
          <c:cat>
            <c:strRef>
              <c:f>'DQ_Overview'!$N$2:$N$5</c:f>
              <c:strCache>
                <c:ptCount val="0"/>
              </c:strCache>
            </c:strRef>
          </c:cat>
          <c:val>
            <c:numRef>
              <c:f>'DQ_Overview'!$O$2:$O$5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Migration Readiness Distribution</a:t>
            </a:r>
          </a:p>
        </c:rich>
      </c:tx>
      <c:overlay val="0"/>
    </c:title>
    <c:autoTitleDeleted val="0"/>
    <c:plotArea>
      <c:layout/>
      <c:pieChart>
        <c:ser>
          <c:idx val="0"/>
          <c:order val="0"/>
          <c:tx>
            <c:v>Records</c:v>
          </c:tx>
          <c:cat>
            <c:strRef>
              <c:f>'DQ_Overview'!$Q$2:$Q$3</c:f>
              <c:strCache>
                <c:ptCount val="0"/>
              </c:strCache>
            </c:strRef>
          </c:cat>
          <c:val>
            <c:numRef>
              <c:f>'DQ_Overview'!$R$2:$R$3</c:f>
              <c:numCache>
                <c:formatCode>General</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28</xdr:row>
      <xdr:rowOff>0</xdr:rowOff>
    </xdr:from>
    <xdr:to>
      <xdr:col>6</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c2e1adbaa84c80"/>
        </a:graphicData>
      </a:graphic>
    </xdr:graphicFrame>
    <xdr:clientData/>
  </xdr:twoCellAnchor>
  <xdr:twoCellAnchor>
    <xdr:from>
      <xdr:col>6</xdr:col>
      <xdr:colOff>0</xdr:colOff>
      <xdr:row>28</xdr:row>
      <xdr:rowOff>0</xdr:rowOff>
    </xdr:from>
    <xdr:to>
      <xdr:col>12</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c40e1037f74b15"/>
        </a:graphicData>
      </a:graphic>
    </xdr:graphicFrame>
    <xdr:clientData/>
  </xdr:twoCellAnchor>
</xdr:wsDr>
</file>

<file path=xl/tables/table1.xml><?xml version="1.0" encoding="utf-8"?>
<x:table xmlns:x="http://schemas.openxmlformats.org/spreadsheetml/2006/main" id="2" name="FieldProfileTable" displayName="FieldProfileTable" ref="A5:K21" headerRowCount="1">
  <x:tableColumns count="11">
    <x:tableColumn id="1" name="Field"/>
    <x:tableColumn id="2" name="Inferred Type"/>
    <x:tableColumn id="3" name="Total"/>
    <x:tableColumn id="4" name="Populated"/>
    <x:tableColumn id="5" name="Missing"/>
    <x:tableColumn id="6" name="Completeness %"/>
    <x:tableColumn id="7" name="Distinct"/>
    <x:tableColumn id="8" name="Uniqueness %"/>
    <x:tableColumn id="9" name="Duplicate Values"/>
    <x:tableColumn id="10" name="Risk Rating"/>
    <x:tableColumn id="11" name="Assessment Note"/>
  </x:tableColumns>
  <x:tableStyleInfo name="TableStyleMedium2" showRowStripes="1"/>
</x:table>
</file>

<file path=xl/tables/table2.xml><?xml version="1.0" encoding="utf-8"?>
<x:table xmlns:x="http://schemas.openxmlformats.org/spreadsheetml/2006/main" id="3" name="DQIssueRegister" displayName="DQIssueRegister" ref="A5:P16" headerRowCount="1">
  <x:tableColumns count="16">
    <x:tableColumn id="1" name="Issue_ID"/>
    <x:tableColumn id="2" name="Employee_ID"/>
    <x:tableColumn id="3" name="Employee_Name"/>
    <x:tableColumn id="4" name="Country"/>
    <x:tableColumn id="5" name="Department"/>
    <x:tableColumn id="6" name="Source_System"/>
    <x:tableColumn id="7" name="Duplicate_Flag"/>
    <x:tableColumn id="8" name="Missing_Email"/>
    <x:tableColumn id="9" name="Source_of_Truth"/>
    <x:tableColumn id="10" name="Validation_Status"/>
    <x:tableColumn id="11" name="Severity"/>
    <x:tableColumn id="12" name="Issue_Summary"/>
    <x:tableColumn id="13" name="Recommended_Action"/>
    <x:tableColumn id="14" name="Proposed_Owner"/>
    <x:tableColumn id="15" name="Target_Status"/>
    <x:tableColumn id="16" name="Validation_Evidence"/>
  </x:tableColumns>
  <x:tableStyleInfo name="TableStyleMedium2" showRowStripes="1"/>
</x:table>
</file>

<file path=xl/tables/table3.xml><?xml version="1.0" encoding="utf-8"?>
<x:table xmlns:x="http://schemas.openxmlformats.org/spreadsheetml/2006/main" id="1" name="AssessedPeopleData" displayName="AssessedPeopleData" ref="A1:V201" headerRowCount="1">
  <x:tableColumns count="22">
    <x:tableColumn id="1" name="Employee_ID"/>
    <x:tableColumn id="2" name="First_Name"/>
    <x:tableColumn id="3" name="Last_Name"/>
    <x:tableColumn id="4" name="Country"/>
    <x:tableColumn id="5" name="Department"/>
    <x:tableColumn id="6" name="Email"/>
    <x:tableColumn id="7" name="AD_Username"/>
    <x:tableColumn id="8" name="BambooHR_ID"/>
    <x:tableColumn id="9" name="Maconomy_ID"/>
    <x:tableColumn id="10" name="Xytech_ID"/>
    <x:tableColumn id="11" name="Duplicate_Flag"/>
    <x:tableColumn id="12" name="Missing_Email"/>
    <x:tableColumn id="13" name="Data_Quality_Status"/>
    <x:tableColumn id="14" name="Source_System"/>
    <x:tableColumn id="15" name="Source_of_Truth"/>
    <x:tableColumn id="16" name="Validation_Status"/>
    <x:tableColumn id="17" name="Actual_Key_Duplicate"/>
    <x:tableColumn id="18" name="Email_Validity"/>
    <x:tableColumn id="19" name="Issue_Count"/>
    <x:tableColumn id="20" name="Row_Quality_Score"/>
    <x:tableColumn id="21" name="Migration_Readiness"/>
    <x:tableColumn id="22" name="Recommended_Action"/>
  </x:tableColumns>
  <x:tableStyleInfo name="TableStyleMedium2" showRowStripes="1"/>
</x:table>
</file>

<file path=xl/tables/table4.xml><?xml version="1.0" encoding="utf-8"?>
<x:table xmlns:x="http://schemas.openxmlformats.org/spreadsheetml/2006/main" id="4" name="DQRuleCatalogue" displayName="DQRuleCatalogue" ref="A5:J17" headerRowCount="1">
  <x:tableColumns count="10">
    <x:tableColumn id="1" name="Rule_ID"/>
    <x:tableColumn id="2" name="Dimension"/>
    <x:tableColumn id="3" name="Field(s)"/>
    <x:tableColumn id="4" name="Rule Definition"/>
    <x:tableColumn id="5" name="Criticality"/>
    <x:tableColumn id="6" name="Failed Records"/>
    <x:tableColumn id="7" name="Pass Rate"/>
    <x:tableColumn id="8" name="Status"/>
    <x:tableColumn id="9" name="Proposed Owner"/>
    <x:tableColumn id="10" name="Remediation / Control"/>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e466e3a4174b4381" /></Relationships>
</file>

<file path=xl/worksheets/_rels/sheet4.xml.rels>&#65279;<?xml version="1.0" encoding="utf-8"?><Relationships xmlns="http://schemas.openxmlformats.org/package/2006/relationships"><Relationship Type="http://schemas.openxmlformats.org/officeDocument/2006/relationships/table" Target="/xl/tables/table1.xml" Id="Re1eaae30cd0a49ef" /></Relationships>
</file>

<file path=xl/worksheets/_rels/sheet5.xml.rels>&#65279;<?xml version="1.0" encoding="utf-8"?><Relationships xmlns="http://schemas.openxmlformats.org/package/2006/relationships"><Relationship Type="http://schemas.openxmlformats.org/officeDocument/2006/relationships/table" Target="/xl/tables/table2.xml" Id="R2d14e5436f1047ce" /></Relationships>
</file>

<file path=xl/worksheets/_rels/sheet6.xml.rels>&#65279;<?xml version="1.0" encoding="utf-8"?><Relationships xmlns="http://schemas.openxmlformats.org/package/2006/relationships"><Relationship Type="http://schemas.openxmlformats.org/officeDocument/2006/relationships/table" Target="/xl/tables/table3.xml" Id="R7c5b03f525b146fe" /></Relationships>
</file>

<file path=xl/worksheets/_rels/sheet7.xml.rels>&#65279;<?xml version="1.0" encoding="utf-8"?><Relationships xmlns="http://schemas.openxmlformats.org/package/2006/relationships"><Relationship Type="http://schemas.openxmlformats.org/officeDocument/2006/relationships/table" Target="/xl/tables/table4.xml" Id="R64e12b06a70d449d" /></Relationships>
</file>

<file path=xl/worksheets/sheet1.xml><?xml version="1.0" encoding="utf-8"?>
<x:worksheet xmlns:x="http://schemas.openxmlformats.org/spreadsheetml/2006/main">
  <x:sheetFormatPr defaultRowHeight="14.399999618530273"/>
  <x:cols>
    <x:col min="1" max="1" width="12" hidden="0" customWidth="1"/>
    <x:col min="2" max="2" width="12" hidden="0" customWidth="1"/>
    <x:col min="3" max="3" width="12" hidden="0" customWidth="1"/>
    <x:col min="4" max="4" width="14" hidden="0" customWidth="1"/>
    <x:col min="5" max="5" width="15" hidden="0" customWidth="1"/>
    <x:col min="6" max="6" width="25" hidden="0" customWidth="1"/>
    <x:col min="7" max="7" width="18" hidden="0" customWidth="1"/>
    <x:col min="8" max="8" width="15" hidden="0" customWidth="1"/>
    <x:col min="9" max="9" width="15" hidden="0" customWidth="1"/>
    <x:col min="10" max="10" width="15" hidden="0" customWidth="1"/>
    <x:col min="11" max="11" width="14" hidden="0" customWidth="1"/>
    <x:col min="12" max="12" width="14" hidden="0" customWidth="1"/>
    <x:col min="13" max="13" width="18" hidden="0" customWidth="1"/>
    <x:col min="14" max="14" width="18" hidden="0" customWidth="1"/>
    <x:col min="15" max="15" width="18" hidden="0" customWidth="1"/>
    <x:col min="16" max="16" width="18" hidden="0" customWidth="1"/>
  </x:cols>
  <x:sheetData>
    <x:row r="1">
      <x:c r="A1" s="499" t="s">
        <x:v>0</x:v>
      </x:c>
      <x:c r="B1" s="500" t="s">
        <x:v>1</x:v>
      </x:c>
      <x:c r="C1" s="500" t="s">
        <x:v>2</x:v>
      </x:c>
      <x:c r="D1" s="500" t="s">
        <x:v>3</x:v>
      </x:c>
      <x:c r="E1" s="500" t="s">
        <x:v>4</x:v>
      </x:c>
      <x:c r="F1" s="500" t="s">
        <x:v>5</x:v>
      </x:c>
      <x:c r="G1" s="500" t="s">
        <x:v>6</x:v>
      </x:c>
      <x:c r="H1" s="500" t="s">
        <x:v>7</x:v>
      </x:c>
      <x:c r="I1" s="500" t="s">
        <x:v>8</x:v>
      </x:c>
      <x:c r="J1" s="500" t="s">
        <x:v>9</x:v>
      </x:c>
      <x:c r="K1" s="500" t="s">
        <x:v>10</x:v>
      </x:c>
      <x:c r="L1" s="500" t="s">
        <x:v>11</x:v>
      </x:c>
      <x:c r="M1" s="500" t="s">
        <x:v>12</x:v>
      </x:c>
      <x:c r="N1" s="500" t="s">
        <x:v>13</x:v>
      </x:c>
      <x:c r="O1" s="500" t="s">
        <x:v>14</x:v>
      </x:c>
      <x:c r="P1" s="501" t="s">
        <x:v>15</x:v>
      </x:c>
    </x:row>
    <x:row r="2">
      <x:c r="A2" s="27">
        <x:v>1002</x:v>
      </x:c>
      <x:c r="B2" s="28" t="s">
        <x:v>16</x:v>
      </x:c>
      <x:c r="C2" s="28" t="s">
        <x:v>17</x:v>
      </x:c>
      <x:c r="D2" s="28" t="s">
        <x:v>18</x:v>
      </x:c>
      <x:c r="E2" s="28" t="s">
        <x:v>19</x:v>
      </x:c>
      <x:c r="F2" s="28" t="s">
        <x:v>20</x:v>
      </x:c>
      <x:c r="G2" s="28" t="s">
        <x:v>21</x:v>
      </x:c>
      <x:c r="H2" s="28" t="s">
        <x:v>22</x:v>
      </x:c>
      <x:c r="I2" s="28" t="s">
        <x:v>23</x:v>
      </x:c>
      <x:c r="J2" s="28" t="s">
        <x:v>24</x:v>
      </x:c>
      <x:c r="K2" s="28" t="s">
        <x:v>25</x:v>
      </x:c>
      <x:c r="L2" s="28" t="s">
        <x:v>25</x:v>
      </x:c>
      <x:c r="M2" s="28" t="s">
        <x:v>26</x:v>
      </x:c>
      <x:c r="N2" s="28" t="s">
        <x:v>27</x:v>
      </x:c>
      <x:c r="O2" s="28" t="s">
        <x:v>28</x:v>
      </x:c>
      <x:c r="P2" s="29" t="s">
        <x:v>29</x:v>
      </x:c>
    </x:row>
    <x:row r="3">
      <x:c r="A3" s="27">
        <x:v>1003</x:v>
      </x:c>
      <x:c r="B3" s="28" t="s">
        <x:v>30</x:v>
      </x:c>
      <x:c r="C3" s="28" t="s">
        <x:v>31</x:v>
      </x:c>
      <x:c r="D3" s="28" t="s">
        <x:v>32</x:v>
      </x:c>
      <x:c r="E3" s="28" t="s">
        <x:v>33</x:v>
      </x:c>
      <x:c r="F3" s="28" t="s">
        <x:v>34</x:v>
      </x:c>
      <x:c r="G3" s="28" t="s">
        <x:v>35</x:v>
      </x:c>
      <x:c r="H3" s="28" t="s">
        <x:v>36</x:v>
      </x:c>
      <x:c r="I3" s="28" t="s">
        <x:v>37</x:v>
      </x:c>
      <x:c r="J3" s="28" t="s">
        <x:v>38</x:v>
      </x:c>
      <x:c r="K3" s="28" t="s">
        <x:v>25</x:v>
      </x:c>
      <x:c r="L3" s="28" t="s">
        <x:v>25</x:v>
      </x:c>
      <x:c r="M3" s="28" t="s">
        <x:v>26</x:v>
      </x:c>
      <x:c r="N3" s="28" t="s">
        <x:v>39</x:v>
      </x:c>
      <x:c r="O3" s="28" t="s">
        <x:v>28</x:v>
      </x:c>
      <x:c r="P3" s="29" t="s">
        <x:v>29</x:v>
      </x:c>
    </x:row>
    <x:row r="4">
      <x:c r="A4" s="27">
        <x:v>1004</x:v>
      </x:c>
      <x:c r="B4" s="28" t="s">
        <x:v>40</x:v>
      </x:c>
      <x:c r="C4" s="28" t="s">
        <x:v>41</x:v>
      </x:c>
      <x:c r="D4" s="28" t="s">
        <x:v>42</x:v>
      </x:c>
      <x:c r="E4" s="28" t="s">
        <x:v>43</x:v>
      </x:c>
      <x:c r="F4" s="28" t="s">
        <x:v>44</x:v>
      </x:c>
      <x:c r="G4" s="28" t="s">
        <x:v>45</x:v>
      </x:c>
      <x:c r="H4" s="28" t="s">
        <x:v>46</x:v>
      </x:c>
      <x:c r="I4" s="28" t="s">
        <x:v>47</x:v>
      </x:c>
      <x:c r="J4" s="28" t="s">
        <x:v>48</x:v>
      </x:c>
      <x:c r="K4" s="28" t="s">
        <x:v>25</x:v>
      </x:c>
      <x:c r="L4" s="28" t="s">
        <x:v>25</x:v>
      </x:c>
      <x:c r="M4" s="28" t="s">
        <x:v>26</x:v>
      </x:c>
      <x:c r="N4" s="28" t="s">
        <x:v>49</x:v>
      </x:c>
      <x:c r="O4" s="28" t="s">
        <x:v>28</x:v>
      </x:c>
      <x:c r="P4" s="29" t="s">
        <x:v>29</x:v>
      </x:c>
    </x:row>
    <x:row r="5">
      <x:c r="A5" s="27">
        <x:v>1005</x:v>
      </x:c>
      <x:c r="B5" s="28" t="s">
        <x:v>50</x:v>
      </x:c>
      <x:c r="C5" s="28" t="s">
        <x:v>51</x:v>
      </x:c>
      <x:c r="D5" s="28" t="s">
        <x:v>52</x:v>
      </x:c>
      <x:c r="E5" s="28" t="s">
        <x:v>53</x:v>
      </x:c>
      <x:c r="F5" s="28" t="s">
        <x:v>54</x:v>
      </x:c>
      <x:c r="G5" s="28" t="s">
        <x:v>55</x:v>
      </x:c>
      <x:c r="H5" s="28" t="s">
        <x:v>56</x:v>
      </x:c>
      <x:c r="I5" s="28" t="s">
        <x:v>57</x:v>
      </x:c>
      <x:c r="J5" s="28" t="s">
        <x:v>58</x:v>
      </x:c>
      <x:c r="K5" s="28" t="s">
        <x:v>25</x:v>
      </x:c>
      <x:c r="L5" s="28" t="s">
        <x:v>25</x:v>
      </x:c>
      <x:c r="M5" s="28" t="s">
        <x:v>26</x:v>
      </x:c>
      <x:c r="N5" s="28" t="s">
        <x:v>59</x:v>
      </x:c>
      <x:c r="O5" s="28" t="s">
        <x:v>28</x:v>
      </x:c>
      <x:c r="P5" s="29" t="s">
        <x:v>29</x:v>
      </x:c>
    </x:row>
    <x:row r="6">
      <x:c r="A6" s="27">
        <x:v>1006</x:v>
      </x:c>
      <x:c r="B6" s="28" t="s">
        <x:v>60</x:v>
      </x:c>
      <x:c r="C6" s="28" t="s">
        <x:v>61</x:v>
      </x:c>
      <x:c r="D6" s="28" t="s">
        <x:v>62</x:v>
      </x:c>
      <x:c r="E6" s="28" t="s">
        <x:v>63</x:v>
      </x:c>
      <x:c r="F6" s="28" t="s">
        <x:v>64</x:v>
      </x:c>
      <x:c r="G6" s="28" t="s">
        <x:v>65</x:v>
      </x:c>
      <x:c r="H6" s="28" t="s">
        <x:v>66</x:v>
      </x:c>
      <x:c r="I6" s="28" t="s">
        <x:v>67</x:v>
      </x:c>
      <x:c r="J6" s="28" t="s">
        <x:v>68</x:v>
      </x:c>
      <x:c r="K6" s="28" t="s">
        <x:v>25</x:v>
      </x:c>
      <x:c r="L6" s="28" t="s">
        <x:v>25</x:v>
      </x:c>
      <x:c r="M6" s="28" t="s">
        <x:v>26</x:v>
      </x:c>
      <x:c r="N6" s="28" t="s">
        <x:v>27</x:v>
      </x:c>
      <x:c r="O6" s="28" t="s">
        <x:v>28</x:v>
      </x:c>
      <x:c r="P6" s="29" t="s">
        <x:v>29</x:v>
      </x:c>
    </x:row>
    <x:row r="7">
      <x:c r="A7" s="27">
        <x:v>1007</x:v>
      </x:c>
      <x:c r="B7" s="28" t="s">
        <x:v>69</x:v>
      </x:c>
      <x:c r="C7" s="28" t="s">
        <x:v>70</x:v>
      </x:c>
      <x:c r="D7" s="28" t="s">
        <x:v>71</x:v>
      </x:c>
      <x:c r="E7" s="28" t="s">
        <x:v>72</x:v>
      </x:c>
      <x:c r="F7" s="28" t="s">
        <x:v>73</x:v>
      </x:c>
      <x:c r="G7" s="28" t="s">
        <x:v>74</x:v>
      </x:c>
      <x:c r="H7" s="28" t="s">
        <x:v>75</x:v>
      </x:c>
      <x:c r="I7" s="28" t="s">
        <x:v>76</x:v>
      </x:c>
      <x:c r="J7" s="28" t="s">
        <x:v>77</x:v>
      </x:c>
      <x:c r="K7" s="28" t="s">
        <x:v>25</x:v>
      </x:c>
      <x:c r="L7" s="28" t="s">
        <x:v>25</x:v>
      </x:c>
      <x:c r="M7" s="28" t="s">
        <x:v>26</x:v>
      </x:c>
      <x:c r="N7" s="28" t="s">
        <x:v>39</x:v>
      </x:c>
      <x:c r="O7" s="28" t="s">
        <x:v>28</x:v>
      </x:c>
      <x:c r="P7" s="29" t="s">
        <x:v>29</x:v>
      </x:c>
    </x:row>
    <x:row r="8">
      <x:c r="A8" s="27">
        <x:v>1008</x:v>
      </x:c>
      <x:c r="B8" s="28" t="s">
        <x:v>78</x:v>
      </x:c>
      <x:c r="C8" s="28" t="s">
        <x:v>79</x:v>
      </x:c>
      <x:c r="D8" s="28" t="s">
        <x:v>80</x:v>
      </x:c>
      <x:c r="E8" s="28" t="s">
        <x:v>19</x:v>
      </x:c>
      <x:c r="F8" s="28" t="s">
        <x:v>81</x:v>
      </x:c>
      <x:c r="G8" s="28" t="s">
        <x:v>82</x:v>
      </x:c>
      <x:c r="H8" s="28" t="s">
        <x:v>83</x:v>
      </x:c>
      <x:c r="I8" s="28" t="s">
        <x:v>84</x:v>
      </x:c>
      <x:c r="J8" s="28" t="s">
        <x:v>85</x:v>
      </x:c>
      <x:c r="K8" s="28" t="s">
        <x:v>25</x:v>
      </x:c>
      <x:c r="L8" s="28" t="s">
        <x:v>25</x:v>
      </x:c>
      <x:c r="M8" s="28" t="s">
        <x:v>26</x:v>
      </x:c>
      <x:c r="N8" s="28" t="s">
        <x:v>49</x:v>
      </x:c>
      <x:c r="O8" s="28" t="s">
        <x:v>28</x:v>
      </x:c>
      <x:c r="P8" s="29" t="s">
        <x:v>29</x:v>
      </x:c>
    </x:row>
    <x:row r="9">
      <x:c r="A9" s="27">
        <x:v>1009</x:v>
      </x:c>
      <x:c r="B9" s="28" t="s">
        <x:v>86</x:v>
      </x:c>
      <x:c r="C9" s="28" t="s">
        <x:v>87</x:v>
      </x:c>
      <x:c r="D9" s="28" t="s">
        <x:v>88</x:v>
      </x:c>
      <x:c r="E9" s="28" t="s">
        <x:v>33</x:v>
      </x:c>
      <x:c r="F9" s="28" t="s">
        <x:v>89</x:v>
      </x:c>
      <x:c r="G9" s="28" t="s">
        <x:v>90</x:v>
      </x:c>
      <x:c r="H9" s="28" t="s">
        <x:v>91</x:v>
      </x:c>
      <x:c r="I9" s="28" t="s">
        <x:v>92</x:v>
      </x:c>
      <x:c r="J9" s="28" t="s">
        <x:v>93</x:v>
      </x:c>
      <x:c r="K9" s="28" t="s">
        <x:v>25</x:v>
      </x:c>
      <x:c r="L9" s="28" t="s">
        <x:v>25</x:v>
      </x:c>
      <x:c r="M9" s="28" t="s">
        <x:v>26</x:v>
      </x:c>
      <x:c r="N9" s="28" t="s">
        <x:v>59</x:v>
      </x:c>
      <x:c r="O9" s="28" t="s">
        <x:v>28</x:v>
      </x:c>
      <x:c r="P9" s="29" t="s">
        <x:v>29</x:v>
      </x:c>
    </x:row>
    <x:row r="10">
      <x:c r="A10" s="27">
        <x:v>1010</x:v>
      </x:c>
      <x:c r="B10" s="28" t="s">
        <x:v>94</x:v>
      </x:c>
      <x:c r="C10" s="28" t="s">
        <x:v>95</x:v>
      </x:c>
      <x:c r="D10" s="28" t="s">
        <x:v>96</x:v>
      </x:c>
      <x:c r="E10" s="28" t="s">
        <x:v>43</x:v>
      </x:c>
      <x:c r="F10" s="28" t="s">
        <x:v>97</x:v>
      </x:c>
      <x:c r="G10" s="28" t="s">
        <x:v>98</x:v>
      </x:c>
      <x:c r="H10" s="28" t="s">
        <x:v>99</x:v>
      </x:c>
      <x:c r="I10" s="28" t="s">
        <x:v>100</x:v>
      </x:c>
      <x:c r="J10" s="28" t="s">
        <x:v>101</x:v>
      </x:c>
      <x:c r="K10" s="28" t="s">
        <x:v>25</x:v>
      </x:c>
      <x:c r="L10" s="28" t="s">
        <x:v>25</x:v>
      </x:c>
      <x:c r="M10" s="28" t="s">
        <x:v>26</x:v>
      </x:c>
      <x:c r="N10" s="28" t="s">
        <x:v>27</x:v>
      </x:c>
      <x:c r="O10" s="28" t="s">
        <x:v>28</x:v>
      </x:c>
      <x:c r="P10" s="29" t="s">
        <x:v>29</x:v>
      </x:c>
    </x:row>
    <x:row r="11">
      <x:c r="A11" s="27">
        <x:v>1011</x:v>
      </x:c>
      <x:c r="B11" s="28" t="s">
        <x:v>102</x:v>
      </x:c>
      <x:c r="C11" s="28" t="s">
        <x:v>103</x:v>
      </x:c>
      <x:c r="D11" s="28" t="s">
        <x:v>104</x:v>
      </x:c>
      <x:c r="E11" s="28" t="s">
        <x:v>53</x:v>
      </x:c>
      <x:c r="F11" s="28" t="s">
        <x:v>105</x:v>
      </x:c>
      <x:c r="G11" s="28" t="s">
        <x:v>106</x:v>
      </x:c>
      <x:c r="H11" s="28" t="s">
        <x:v>107</x:v>
      </x:c>
      <x:c r="I11" s="28" t="s">
        <x:v>108</x:v>
      </x:c>
      <x:c r="J11" s="28" t="s">
        <x:v>109</x:v>
      </x:c>
      <x:c r="K11" s="28" t="s">
        <x:v>25</x:v>
      </x:c>
      <x:c r="L11" s="28" t="s">
        <x:v>25</x:v>
      </x:c>
      <x:c r="M11" s="28" t="s">
        <x:v>26</x:v>
      </x:c>
      <x:c r="N11" s="28" t="s">
        <x:v>39</x:v>
      </x:c>
      <x:c r="O11" s="28" t="s">
        <x:v>28</x:v>
      </x:c>
      <x:c r="P11" s="29" t="s">
        <x:v>29</x:v>
      </x:c>
    </x:row>
    <x:row r="12">
      <x:c r="A12" s="27">
        <x:v>1012</x:v>
      </x:c>
      <x:c r="B12" s="28" t="s">
        <x:v>110</x:v>
      </x:c>
      <x:c r="C12" s="28" t="s">
        <x:v>111</x:v>
      </x:c>
      <x:c r="D12" s="28" t="s">
        <x:v>112</x:v>
      </x:c>
      <x:c r="E12" s="28" t="s">
        <x:v>63</x:v>
      </x:c>
      <x:c r="F12" s="28" t="s">
        <x:v>113</x:v>
      </x:c>
      <x:c r="G12" s="28" t="s">
        <x:v>114</x:v>
      </x:c>
      <x:c r="H12" s="28" t="s">
        <x:v>115</x:v>
      </x:c>
      <x:c r="I12" s="28" t="s">
        <x:v>116</x:v>
      </x:c>
      <x:c r="J12" s="28" t="s">
        <x:v>117</x:v>
      </x:c>
      <x:c r="K12" s="28" t="s">
        <x:v>25</x:v>
      </x:c>
      <x:c r="L12" s="28" t="s">
        <x:v>25</x:v>
      </x:c>
      <x:c r="M12" s="28" t="s">
        <x:v>26</x:v>
      </x:c>
      <x:c r="N12" s="28" t="s">
        <x:v>49</x:v>
      </x:c>
      <x:c r="O12" s="28" t="s">
        <x:v>28</x:v>
      </x:c>
      <x:c r="P12" s="29" t="s">
        <x:v>29</x:v>
      </x:c>
    </x:row>
    <x:row r="13">
      <x:c r="A13" s="27">
        <x:v>1013</x:v>
      </x:c>
      <x:c r="B13" s="28" t="s">
        <x:v>118</x:v>
      </x:c>
      <x:c r="C13" s="28" t="s">
        <x:v>119</x:v>
      </x:c>
      <x:c r="D13" s="28" t="s">
        <x:v>120</x:v>
      </x:c>
      <x:c r="E13" s="28" t="s">
        <x:v>72</x:v>
      </x:c>
      <x:c r="F13" s="28" t="s">
        <x:v>121</x:v>
      </x:c>
      <x:c r="G13" s="28" t="s">
        <x:v>122</x:v>
      </x:c>
      <x:c r="H13" s="28" t="s">
        <x:v>123</x:v>
      </x:c>
      <x:c r="I13" s="28" t="s">
        <x:v>124</x:v>
      </x:c>
      <x:c r="J13" s="28" t="s">
        <x:v>125</x:v>
      </x:c>
      <x:c r="K13" s="28" t="s">
        <x:v>25</x:v>
      </x:c>
      <x:c r="L13" s="28" t="s">
        <x:v>25</x:v>
      </x:c>
      <x:c r="M13" s="28" t="s">
        <x:v>26</x:v>
      </x:c>
      <x:c r="N13" s="28" t="s">
        <x:v>59</x:v>
      </x:c>
      <x:c r="O13" s="28" t="s">
        <x:v>28</x:v>
      </x:c>
      <x:c r="P13" s="29" t="s">
        <x:v>29</x:v>
      </x:c>
    </x:row>
    <x:row r="14">
      <x:c r="A14" s="27">
        <x:v>1014</x:v>
      </x:c>
      <x:c r="B14" s="28" t="s">
        <x:v>126</x:v>
      </x:c>
      <x:c r="C14" s="28" t="s">
        <x:v>127</x:v>
      </x:c>
      <x:c r="D14" s="28" t="s">
        <x:v>128</x:v>
      </x:c>
      <x:c r="E14" s="28" t="s">
        <x:v>19</x:v>
      </x:c>
      <x:c r="F14" s="28" t="s">
        <x:v>129</x:v>
      </x:c>
      <x:c r="G14" s="28" t="s">
        <x:v>130</x:v>
      </x:c>
      <x:c r="H14" s="28" t="s">
        <x:v>131</x:v>
      </x:c>
      <x:c r="I14" s="28" t="s">
        <x:v>132</x:v>
      </x:c>
      <x:c r="J14" s="28" t="s">
        <x:v>133</x:v>
      </x:c>
      <x:c r="K14" s="28" t="s">
        <x:v>25</x:v>
      </x:c>
      <x:c r="L14" s="28" t="s">
        <x:v>25</x:v>
      </x:c>
      <x:c r="M14" s="28" t="s">
        <x:v>26</x:v>
      </x:c>
      <x:c r="N14" s="28" t="s">
        <x:v>27</x:v>
      </x:c>
      <x:c r="O14" s="28" t="s">
        <x:v>28</x:v>
      </x:c>
      <x:c r="P14" s="29" t="s">
        <x:v>29</x:v>
      </x:c>
    </x:row>
    <x:row r="15">
      <x:c r="A15" s="27">
        <x:v>1015</x:v>
      </x:c>
      <x:c r="B15" s="28" t="s">
        <x:v>134</x:v>
      </x:c>
      <x:c r="C15" s="28" t="s">
        <x:v>135</x:v>
      </x:c>
      <x:c r="D15" s="28" t="s">
        <x:v>136</x:v>
      </x:c>
      <x:c r="E15" s="28" t="s">
        <x:v>33</x:v>
      </x:c>
      <x:c r="F15" s="28" t="s">
        <x:v>137</x:v>
      </x:c>
      <x:c r="G15" s="28" t="s">
        <x:v>138</x:v>
      </x:c>
      <x:c r="H15" s="28" t="s">
        <x:v>139</x:v>
      </x:c>
      <x:c r="I15" s="28" t="s">
        <x:v>140</x:v>
      </x:c>
      <x:c r="J15" s="28" t="s">
        <x:v>141</x:v>
      </x:c>
      <x:c r="K15" s="28" t="s">
        <x:v>25</x:v>
      </x:c>
      <x:c r="L15" s="28" t="s">
        <x:v>25</x:v>
      </x:c>
      <x:c r="M15" s="28" t="s">
        <x:v>26</x:v>
      </x:c>
      <x:c r="N15" s="28" t="s">
        <x:v>39</x:v>
      </x:c>
      <x:c r="O15" s="28" t="s">
        <x:v>28</x:v>
      </x:c>
      <x:c r="P15" s="29" t="s">
        <x:v>29</x:v>
      </x:c>
    </x:row>
    <x:row r="16">
      <x:c r="A16" s="27">
        <x:v>1016</x:v>
      </x:c>
      <x:c r="B16" s="28" t="s">
        <x:v>142</x:v>
      </x:c>
      <x:c r="C16" s="28" t="s">
        <x:v>143</x:v>
      </x:c>
      <x:c r="D16" s="28" t="s">
        <x:v>18</x:v>
      </x:c>
      <x:c r="E16" s="28" t="s">
        <x:v>43</x:v>
      </x:c>
      <x:c r="F16" s="28" t="s">
        <x:v>144</x:v>
      </x:c>
      <x:c r="G16" s="28" t="s">
        <x:v>145</x:v>
      </x:c>
      <x:c r="H16" s="28" t="s">
        <x:v>146</x:v>
      </x:c>
      <x:c r="I16" s="28" t="s">
        <x:v>147</x:v>
      </x:c>
      <x:c r="J16" s="28" t="s">
        <x:v>148</x:v>
      </x:c>
      <x:c r="K16" s="28" t="s">
        <x:v>25</x:v>
      </x:c>
      <x:c r="L16" s="28" t="s">
        <x:v>25</x:v>
      </x:c>
      <x:c r="M16" s="28" t="s">
        <x:v>26</x:v>
      </x:c>
      <x:c r="N16" s="28" t="s">
        <x:v>49</x:v>
      </x:c>
      <x:c r="O16" s="28" t="s">
        <x:v>28</x:v>
      </x:c>
      <x:c r="P16" s="29" t="s">
        <x:v>29</x:v>
      </x:c>
    </x:row>
    <x:row r="17">
      <x:c r="A17" s="27">
        <x:v>1017</x:v>
      </x:c>
      <x:c r="B17" s="28" t="s">
        <x:v>149</x:v>
      </x:c>
      <x:c r="C17" s="28" t="s">
        <x:v>150</x:v>
      </x:c>
      <x:c r="D17" s="28" t="s">
        <x:v>32</x:v>
      </x:c>
      <x:c r="E17" s="28" t="s">
        <x:v>53</x:v>
      </x:c>
      <x:c r="F17" s="28" t="s">
        <x:v>151</x:v>
      </x:c>
      <x:c r="G17" s="28" t="s">
        <x:v>152</x:v>
      </x:c>
      <x:c r="H17" s="28" t="s">
        <x:v>153</x:v>
      </x:c>
      <x:c r="I17" s="28" t="s">
        <x:v>154</x:v>
      </x:c>
      <x:c r="J17" s="28" t="s">
        <x:v>155</x:v>
      </x:c>
      <x:c r="K17" s="28" t="s">
        <x:v>25</x:v>
      </x:c>
      <x:c r="L17" s="28" t="s">
        <x:v>25</x:v>
      </x:c>
      <x:c r="M17" s="28" t="s">
        <x:v>26</x:v>
      </x:c>
      <x:c r="N17" s="28" t="s">
        <x:v>59</x:v>
      </x:c>
      <x:c r="O17" s="28" t="s">
        <x:v>28</x:v>
      </x:c>
      <x:c r="P17" s="29" t="s">
        <x:v>29</x:v>
      </x:c>
    </x:row>
    <x:row r="18">
      <x:c r="A18" s="27">
        <x:v>1018</x:v>
      </x:c>
      <x:c r="B18" s="28" t="s">
        <x:v>156</x:v>
      </x:c>
      <x:c r="C18" s="28" t="s">
        <x:v>157</x:v>
      </x:c>
      <x:c r="D18" s="28" t="s">
        <x:v>42</x:v>
      </x:c>
      <x:c r="E18" s="28" t="s">
        <x:v>63</x:v>
      </x:c>
      <x:c r="F18" s="28" t="s">
        <x:v>158</x:v>
      </x:c>
      <x:c r="G18" s="28" t="s">
        <x:v>159</x:v>
      </x:c>
      <x:c r="H18" s="28" t="s">
        <x:v>160</x:v>
      </x:c>
      <x:c r="I18" s="28" t="s">
        <x:v>161</x:v>
      </x:c>
      <x:c r="J18" s="28" t="s">
        <x:v>162</x:v>
      </x:c>
      <x:c r="K18" s="28" t="s">
        <x:v>25</x:v>
      </x:c>
      <x:c r="L18" s="28" t="s">
        <x:v>25</x:v>
      </x:c>
      <x:c r="M18" s="28" t="s">
        <x:v>26</x:v>
      </x:c>
      <x:c r="N18" s="28" t="s">
        <x:v>27</x:v>
      </x:c>
      <x:c r="O18" s="28" t="s">
        <x:v>28</x:v>
      </x:c>
      <x:c r="P18" s="29" t="s">
        <x:v>29</x:v>
      </x:c>
    </x:row>
    <x:row r="19">
      <x:c r="A19" s="27">
        <x:v>1019</x:v>
      </x:c>
      <x:c r="B19" s="28" t="s">
        <x:v>163</x:v>
      </x:c>
      <x:c r="C19" s="28" t="s">
        <x:v>164</x:v>
      </x:c>
      <x:c r="D19" s="28" t="s">
        <x:v>52</x:v>
      </x:c>
      <x:c r="E19" s="28" t="s">
        <x:v>72</x:v>
      </x:c>
      <x:c r="F19" s="28" t="s">
        <x:v>165</x:v>
      </x:c>
      <x:c r="G19" s="28" t="s">
        <x:v>166</x:v>
      </x:c>
      <x:c r="H19" s="28" t="s">
        <x:v>167</x:v>
      </x:c>
      <x:c r="I19" s="28" t="s">
        <x:v>168</x:v>
      </x:c>
      <x:c r="J19" s="28" t="s">
        <x:v>169</x:v>
      </x:c>
      <x:c r="K19" s="28" t="s">
        <x:v>25</x:v>
      </x:c>
      <x:c r="L19" s="28" t="s">
        <x:v>25</x:v>
      </x:c>
      <x:c r="M19" s="28" t="s">
        <x:v>26</x:v>
      </x:c>
      <x:c r="N19" s="28" t="s">
        <x:v>39</x:v>
      </x:c>
      <x:c r="O19" s="28" t="s">
        <x:v>28</x:v>
      </x:c>
      <x:c r="P19" s="29" t="s">
        <x:v>29</x:v>
      </x:c>
    </x:row>
    <x:row r="20">
      <x:c r="A20" s="27">
        <x:v>1020</x:v>
      </x:c>
      <x:c r="B20" s="28" t="s">
        <x:v>170</x:v>
      </x:c>
      <x:c r="C20" s="28" t="s">
        <x:v>171</x:v>
      </x:c>
      <x:c r="D20" s="28" t="s">
        <x:v>62</x:v>
      </x:c>
      <x:c r="E20" s="28" t="s">
        <x:v>19</x:v>
      </x:c>
      <x:c r="F20" s="28" t="s">
        <x:v>172</x:v>
      </x:c>
      <x:c r="G20" s="28" t="s">
        <x:v>173</x:v>
      </x:c>
      <x:c r="H20" s="28" t="s">
        <x:v>174</x:v>
      </x:c>
      <x:c r="I20" s="28" t="s">
        <x:v>175</x:v>
      </x:c>
      <x:c r="J20" s="28" t="s">
        <x:v>176</x:v>
      </x:c>
      <x:c r="K20" s="28" t="s">
        <x:v>25</x:v>
      </x:c>
      <x:c r="L20" s="28" t="s">
        <x:v>25</x:v>
      </x:c>
      <x:c r="M20" s="28" t="s">
        <x:v>26</x:v>
      </x:c>
      <x:c r="N20" s="28" t="s">
        <x:v>49</x:v>
      </x:c>
      <x:c r="O20" s="28" t="s">
        <x:v>28</x:v>
      </x:c>
      <x:c r="P20" s="29" t="s">
        <x:v>29</x:v>
      </x:c>
    </x:row>
    <x:row r="21">
      <x:c r="A21" s="27">
        <x:v>1021</x:v>
      </x:c>
      <x:c r="B21" s="28" t="s">
        <x:v>177</x:v>
      </x:c>
      <x:c r="C21" s="28" t="s">
        <x:v>178</x:v>
      </x:c>
      <x:c r="D21" s="28" t="s">
        <x:v>71</x:v>
      </x:c>
      <x:c r="E21" s="28" t="s">
        <x:v>33</x:v>
      </x:c>
      <x:c r="F21" s="28" t="s">
        <x:v>179</x:v>
      </x:c>
      <x:c r="G21" s="28" t="s">
        <x:v>180</x:v>
      </x:c>
      <x:c r="H21" s="28" t="s">
        <x:v>181</x:v>
      </x:c>
      <x:c r="I21" s="28" t="s">
        <x:v>182</x:v>
      </x:c>
      <x:c r="J21" s="28" t="s">
        <x:v>183</x:v>
      </x:c>
      <x:c r="K21" s="28" t="s">
        <x:v>25</x:v>
      </x:c>
      <x:c r="L21" s="28" t="s">
        <x:v>25</x:v>
      </x:c>
      <x:c r="M21" s="28" t="s">
        <x:v>26</x:v>
      </x:c>
      <x:c r="N21" s="28" t="s">
        <x:v>59</x:v>
      </x:c>
      <x:c r="O21" s="28" t="s">
        <x:v>28</x:v>
      </x:c>
      <x:c r="P21" s="29" t="s">
        <x:v>29</x:v>
      </x:c>
    </x:row>
    <x:row r="22">
      <x:c r="A22" s="27">
        <x:v>1022</x:v>
      </x:c>
      <x:c r="B22" s="28" t="s">
        <x:v>184</x:v>
      </x:c>
      <x:c r="C22" s="28" t="s">
        <x:v>185</x:v>
      </x:c>
      <x:c r="D22" s="28" t="s">
        <x:v>80</x:v>
      </x:c>
      <x:c r="E22" s="28" t="s">
        <x:v>43</x:v>
      </x:c>
      <x:c r="F22" s="28" t="s">
        <x:v>186</x:v>
      </x:c>
      <x:c r="G22" s="28" t="s">
        <x:v>187</x:v>
      </x:c>
      <x:c r="H22" s="28" t="s">
        <x:v>188</x:v>
      </x:c>
      <x:c r="I22" s="28" t="s">
        <x:v>189</x:v>
      </x:c>
      <x:c r="J22" s="28" t="s">
        <x:v>190</x:v>
      </x:c>
      <x:c r="K22" s="28" t="s">
        <x:v>25</x:v>
      </x:c>
      <x:c r="L22" s="28" t="s">
        <x:v>25</x:v>
      </x:c>
      <x:c r="M22" s="28" t="s">
        <x:v>26</x:v>
      </x:c>
      <x:c r="N22" s="28" t="s">
        <x:v>27</x:v>
      </x:c>
      <x:c r="O22" s="28" t="s">
        <x:v>28</x:v>
      </x:c>
      <x:c r="P22" s="29" t="s">
        <x:v>29</x:v>
      </x:c>
    </x:row>
    <x:row r="23">
      <x:c r="A23" s="27">
        <x:v>1023</x:v>
      </x:c>
      <x:c r="B23" s="28" t="s">
        <x:v>191</x:v>
      </x:c>
      <x:c r="C23" s="28" t="s">
        <x:v>192</x:v>
      </x:c>
      <x:c r="D23" s="28" t="s">
        <x:v>88</x:v>
      </x:c>
      <x:c r="E23" s="28" t="s">
        <x:v>53</x:v>
      </x:c>
      <x:c r="F23" s="28" t="s">
        <x:v>193</x:v>
      </x:c>
      <x:c r="G23" s="28" t="s">
        <x:v>194</x:v>
      </x:c>
      <x:c r="H23" s="28" t="s">
        <x:v>195</x:v>
      </x:c>
      <x:c r="I23" s="28" t="s">
        <x:v>196</x:v>
      </x:c>
      <x:c r="J23" s="28" t="s">
        <x:v>197</x:v>
      </x:c>
      <x:c r="K23" s="28" t="s">
        <x:v>25</x:v>
      </x:c>
      <x:c r="L23" s="28" t="s">
        <x:v>25</x:v>
      </x:c>
      <x:c r="M23" s="28" t="s">
        <x:v>26</x:v>
      </x:c>
      <x:c r="N23" s="28" t="s">
        <x:v>39</x:v>
      </x:c>
      <x:c r="O23" s="28" t="s">
        <x:v>28</x:v>
      </x:c>
      <x:c r="P23" s="29" t="s">
        <x:v>29</x:v>
      </x:c>
    </x:row>
    <x:row r="24">
      <x:c r="A24" s="27">
        <x:v>1024</x:v>
      </x:c>
      <x:c r="B24" s="28" t="s">
        <x:v>198</x:v>
      </x:c>
      <x:c r="C24" s="28" t="s">
        <x:v>199</x:v>
      </x:c>
      <x:c r="D24" s="28" t="s">
        <x:v>96</x:v>
      </x:c>
      <x:c r="E24" s="28" t="s">
        <x:v>63</x:v>
      </x:c>
      <x:c r="F24" s="28" t="s">
        <x:v>200</x:v>
      </x:c>
      <x:c r="G24" s="28" t="s">
        <x:v>201</x:v>
      </x:c>
      <x:c r="H24" s="28" t="s">
        <x:v>202</x:v>
      </x:c>
      <x:c r="I24" s="28" t="s">
        <x:v>203</x:v>
      </x:c>
      <x:c r="J24" s="28" t="s">
        <x:v>204</x:v>
      </x:c>
      <x:c r="K24" s="28" t="s">
        <x:v>25</x:v>
      </x:c>
      <x:c r="L24" s="28" t="s">
        <x:v>25</x:v>
      </x:c>
      <x:c r="M24" s="28" t="s">
        <x:v>26</x:v>
      </x:c>
      <x:c r="N24" s="28" t="s">
        <x:v>49</x:v>
      </x:c>
      <x:c r="O24" s="28" t="s">
        <x:v>28</x:v>
      </x:c>
      <x:c r="P24" s="29" t="s">
        <x:v>29</x:v>
      </x:c>
    </x:row>
    <x:row r="25">
      <x:c r="A25" s="27">
        <x:v>1025</x:v>
      </x:c>
      <x:c r="B25" s="28" t="s">
        <x:v>205</x:v>
      </x:c>
      <x:c r="C25" s="28" t="s">
        <x:v>206</x:v>
      </x:c>
      <x:c r="D25" s="28" t="s">
        <x:v>104</x:v>
      </x:c>
      <x:c r="E25" s="28" t="s">
        <x:v>72</x:v>
      </x:c>
      <x:c r="F25" s="28" t="s">
        <x:v>207</x:v>
      </x:c>
      <x:c r="G25" s="28" t="s">
        <x:v>208</x:v>
      </x:c>
      <x:c r="H25" s="28" t="s">
        <x:v>209</x:v>
      </x:c>
      <x:c r="I25" s="28" t="s">
        <x:v>210</x:v>
      </x:c>
      <x:c r="J25" s="28" t="s">
        <x:v>211</x:v>
      </x:c>
      <x:c r="K25" s="28" t="s">
        <x:v>25</x:v>
      </x:c>
      <x:c r="L25" s="28" t="s">
        <x:v>25</x:v>
      </x:c>
      <x:c r="M25" s="28" t="s">
        <x:v>26</x:v>
      </x:c>
      <x:c r="N25" s="28" t="s">
        <x:v>59</x:v>
      </x:c>
      <x:c r="O25" s="28" t="s">
        <x:v>28</x:v>
      </x:c>
      <x:c r="P25" s="29" t="s">
        <x:v>29</x:v>
      </x:c>
    </x:row>
    <x:row r="26">
      <x:c r="A26" s="27">
        <x:v>1026</x:v>
      </x:c>
      <x:c r="B26" s="28" t="s">
        <x:v>212</x:v>
      </x:c>
      <x:c r="C26" s="28" t="s">
        <x:v>213</x:v>
      </x:c>
      <x:c r="D26" s="28" t="s">
        <x:v>112</x:v>
      </x:c>
      <x:c r="E26" s="28" t="s">
        <x:v>19</x:v>
      </x:c>
      <x:c r="F26" s="28" t="s">
        <x:v>214</x:v>
      </x:c>
      <x:c r="G26" s="28" t="s">
        <x:v>215</x:v>
      </x:c>
      <x:c r="H26" s="28" t="s">
        <x:v>216</x:v>
      </x:c>
      <x:c r="I26" s="28" t="s">
        <x:v>217</x:v>
      </x:c>
      <x:c r="J26" s="28" t="s">
        <x:v>218</x:v>
      </x:c>
      <x:c r="K26" s="28" t="s">
        <x:v>25</x:v>
      </x:c>
      <x:c r="L26" s="28" t="s">
        <x:v>25</x:v>
      </x:c>
      <x:c r="M26" s="28" t="s">
        <x:v>26</x:v>
      </x:c>
      <x:c r="N26" s="28" t="s">
        <x:v>27</x:v>
      </x:c>
      <x:c r="O26" s="28" t="s">
        <x:v>28</x:v>
      </x:c>
      <x:c r="P26" s="29" t="s">
        <x:v>29</x:v>
      </x:c>
    </x:row>
    <x:row r="27">
      <x:c r="A27" s="27">
        <x:v>1027</x:v>
      </x:c>
      <x:c r="B27" s="28" t="s">
        <x:v>219</x:v>
      </x:c>
      <x:c r="C27" s="28" t="s">
        <x:v>220</x:v>
      </x:c>
      <x:c r="D27" s="28" t="s">
        <x:v>120</x:v>
      </x:c>
      <x:c r="E27" s="28" t="s">
        <x:v>33</x:v>
      </x:c>
      <x:c r="F27" s="28" t="s">
        <x:v>221</x:v>
      </x:c>
      <x:c r="G27" s="28" t="s">
        <x:v>222</x:v>
      </x:c>
      <x:c r="H27" s="28" t="s">
        <x:v>223</x:v>
      </x:c>
      <x:c r="I27" s="28" t="s">
        <x:v>224</x:v>
      </x:c>
      <x:c r="J27" s="28" t="s">
        <x:v>225</x:v>
      </x:c>
      <x:c r="K27" s="28" t="s">
        <x:v>25</x:v>
      </x:c>
      <x:c r="L27" s="28" t="s">
        <x:v>25</x:v>
      </x:c>
      <x:c r="M27" s="28" t="s">
        <x:v>26</x:v>
      </x:c>
      <x:c r="N27" s="28" t="s">
        <x:v>39</x:v>
      </x:c>
      <x:c r="O27" s="28" t="s">
        <x:v>28</x:v>
      </x:c>
      <x:c r="P27" s="29" t="s">
        <x:v>29</x:v>
      </x:c>
    </x:row>
    <x:row r="28">
      <x:c r="A28" s="27">
        <x:v>1028</x:v>
      </x:c>
      <x:c r="B28" s="28" t="s">
        <x:v>226</x:v>
      </x:c>
      <x:c r="C28" s="28" t="s">
        <x:v>227</x:v>
      </x:c>
      <x:c r="D28" s="28" t="s">
        <x:v>128</x:v>
      </x:c>
      <x:c r="E28" s="28" t="s">
        <x:v>43</x:v>
      </x:c>
      <x:c r="F28" s="28" t="s">
        <x:v>228</x:v>
      </x:c>
      <x:c r="G28" s="28" t="s">
        <x:v>229</x:v>
      </x:c>
      <x:c r="H28" s="28" t="s">
        <x:v>230</x:v>
      </x:c>
      <x:c r="I28" s="28" t="s">
        <x:v>231</x:v>
      </x:c>
      <x:c r="J28" s="28" t="s">
        <x:v>232</x:v>
      </x:c>
      <x:c r="K28" s="28" t="s">
        <x:v>25</x:v>
      </x:c>
      <x:c r="L28" s="28" t="s">
        <x:v>25</x:v>
      </x:c>
      <x:c r="M28" s="28" t="s">
        <x:v>26</x:v>
      </x:c>
      <x:c r="N28" s="28" t="s">
        <x:v>49</x:v>
      </x:c>
      <x:c r="O28" s="28" t="s">
        <x:v>28</x:v>
      </x:c>
      <x:c r="P28" s="29" t="s">
        <x:v>29</x:v>
      </x:c>
    </x:row>
    <x:row r="29">
      <x:c r="A29" s="27">
        <x:v>1029</x:v>
      </x:c>
      <x:c r="B29" s="28" t="s">
        <x:v>233</x:v>
      </x:c>
      <x:c r="C29" s="28" t="s">
        <x:v>234</x:v>
      </x:c>
      <x:c r="D29" s="28" t="s">
        <x:v>136</x:v>
      </x:c>
      <x:c r="E29" s="28" t="s">
        <x:v>53</x:v>
      </x:c>
      <x:c r="F29" s="28"/>
      <x:c r="G29" s="28" t="s">
        <x:v>235</x:v>
      </x:c>
      <x:c r="H29" s="28" t="s">
        <x:v>236</x:v>
      </x:c>
      <x:c r="I29" s="28" t="s">
        <x:v>237</x:v>
      </x:c>
      <x:c r="J29" s="28" t="s">
        <x:v>238</x:v>
      </x:c>
      <x:c r="K29" s="28" t="s">
        <x:v>25</x:v>
      </x:c>
      <x:c r="L29" s="28" t="s">
        <x:v>239</x:v>
      </x:c>
      <x:c r="M29" s="28" t="s">
        <x:v>240</x:v>
      </x:c>
      <x:c r="N29" s="28" t="s">
        <x:v>59</x:v>
      </x:c>
      <x:c r="O29" s="28" t="s">
        <x:v>241</x:v>
      </x:c>
      <x:c r="P29" s="29" t="s">
        <x:v>241</x:v>
      </x:c>
    </x:row>
    <x:row r="30">
      <x:c r="A30" s="27">
        <x:v>1030</x:v>
      </x:c>
      <x:c r="B30" s="28" t="s">
        <x:v>242</x:v>
      </x:c>
      <x:c r="C30" s="28" t="s">
        <x:v>243</x:v>
      </x:c>
      <x:c r="D30" s="28" t="s">
        <x:v>18</x:v>
      </x:c>
      <x:c r="E30" s="28" t="s">
        <x:v>63</x:v>
      </x:c>
      <x:c r="F30" s="28" t="s">
        <x:v>244</x:v>
      </x:c>
      <x:c r="G30" s="28" t="s">
        <x:v>245</x:v>
      </x:c>
      <x:c r="H30" s="28" t="s">
        <x:v>246</x:v>
      </x:c>
      <x:c r="I30" s="28" t="s">
        <x:v>247</x:v>
      </x:c>
      <x:c r="J30" s="28" t="s">
        <x:v>248</x:v>
      </x:c>
      <x:c r="K30" s="28" t="s">
        <x:v>25</x:v>
      </x:c>
      <x:c r="L30" s="28" t="s">
        <x:v>25</x:v>
      </x:c>
      <x:c r="M30" s="28" t="s">
        <x:v>26</x:v>
      </x:c>
      <x:c r="N30" s="28" t="s">
        <x:v>27</x:v>
      </x:c>
      <x:c r="O30" s="28" t="s">
        <x:v>28</x:v>
      </x:c>
      <x:c r="P30" s="29" t="s">
        <x:v>29</x:v>
      </x:c>
    </x:row>
    <x:row r="31">
      <x:c r="A31" s="27">
        <x:v>1031</x:v>
      </x:c>
      <x:c r="B31" s="28" t="s">
        <x:v>249</x:v>
      </x:c>
      <x:c r="C31" s="28" t="s">
        <x:v>250</x:v>
      </x:c>
      <x:c r="D31" s="28" t="s">
        <x:v>32</x:v>
      </x:c>
      <x:c r="E31" s="28" t="s">
        <x:v>72</x:v>
      </x:c>
      <x:c r="F31" s="28" t="s">
        <x:v>251</x:v>
      </x:c>
      <x:c r="G31" s="28" t="s">
        <x:v>252</x:v>
      </x:c>
      <x:c r="H31" s="28" t="s">
        <x:v>253</x:v>
      </x:c>
      <x:c r="I31" s="28" t="s">
        <x:v>254</x:v>
      </x:c>
      <x:c r="J31" s="28" t="s">
        <x:v>255</x:v>
      </x:c>
      <x:c r="K31" s="28" t="s">
        <x:v>25</x:v>
      </x:c>
      <x:c r="L31" s="28" t="s">
        <x:v>25</x:v>
      </x:c>
      <x:c r="M31" s="28" t="s">
        <x:v>26</x:v>
      </x:c>
      <x:c r="N31" s="28" t="s">
        <x:v>39</x:v>
      </x:c>
      <x:c r="O31" s="28" t="s">
        <x:v>28</x:v>
      </x:c>
      <x:c r="P31" s="29" t="s">
        <x:v>29</x:v>
      </x:c>
    </x:row>
    <x:row r="32">
      <x:c r="A32" s="27">
        <x:v>1032</x:v>
      </x:c>
      <x:c r="B32" s="28" t="s">
        <x:v>256</x:v>
      </x:c>
      <x:c r="C32" s="28" t="s">
        <x:v>257</x:v>
      </x:c>
      <x:c r="D32" s="28" t="s">
        <x:v>42</x:v>
      </x:c>
      <x:c r="E32" s="28" t="s">
        <x:v>19</x:v>
      </x:c>
      <x:c r="F32" s="28" t="s">
        <x:v>258</x:v>
      </x:c>
      <x:c r="G32" s="28" t="s">
        <x:v>259</x:v>
      </x:c>
      <x:c r="H32" s="28" t="s">
        <x:v>260</x:v>
      </x:c>
      <x:c r="I32" s="28" t="s">
        <x:v>261</x:v>
      </x:c>
      <x:c r="J32" s="28" t="s">
        <x:v>262</x:v>
      </x:c>
      <x:c r="K32" s="28" t="s">
        <x:v>25</x:v>
      </x:c>
      <x:c r="L32" s="28" t="s">
        <x:v>25</x:v>
      </x:c>
      <x:c r="M32" s="28" t="s">
        <x:v>26</x:v>
      </x:c>
      <x:c r="N32" s="28" t="s">
        <x:v>49</x:v>
      </x:c>
      <x:c r="O32" s="28" t="s">
        <x:v>28</x:v>
      </x:c>
      <x:c r="P32" s="29" t="s">
        <x:v>29</x:v>
      </x:c>
    </x:row>
    <x:row r="33">
      <x:c r="A33" s="27">
        <x:v>1033</x:v>
      </x:c>
      <x:c r="B33" s="28" t="s">
        <x:v>263</x:v>
      </x:c>
      <x:c r="C33" s="28" t="s">
        <x:v>264</x:v>
      </x:c>
      <x:c r="D33" s="28" t="s">
        <x:v>52</x:v>
      </x:c>
      <x:c r="E33" s="28" t="s">
        <x:v>33</x:v>
      </x:c>
      <x:c r="F33" s="28" t="s">
        <x:v>265</x:v>
      </x:c>
      <x:c r="G33" s="28" t="s">
        <x:v>266</x:v>
      </x:c>
      <x:c r="H33" s="28" t="s">
        <x:v>267</x:v>
      </x:c>
      <x:c r="I33" s="28" t="s">
        <x:v>268</x:v>
      </x:c>
      <x:c r="J33" s="28" t="s">
        <x:v>269</x:v>
      </x:c>
      <x:c r="K33" s="28" t="s">
        <x:v>25</x:v>
      </x:c>
      <x:c r="L33" s="28" t="s">
        <x:v>25</x:v>
      </x:c>
      <x:c r="M33" s="28" t="s">
        <x:v>26</x:v>
      </x:c>
      <x:c r="N33" s="28" t="s">
        <x:v>59</x:v>
      </x:c>
      <x:c r="O33" s="28" t="s">
        <x:v>28</x:v>
      </x:c>
      <x:c r="P33" s="29" t="s">
        <x:v>29</x:v>
      </x:c>
    </x:row>
    <x:row r="34">
      <x:c r="A34" s="27">
        <x:v>1034</x:v>
      </x:c>
      <x:c r="B34" s="28" t="s">
        <x:v>270</x:v>
      </x:c>
      <x:c r="C34" s="28" t="s">
        <x:v>271</x:v>
      </x:c>
      <x:c r="D34" s="28" t="s">
        <x:v>62</x:v>
      </x:c>
      <x:c r="E34" s="28" t="s">
        <x:v>43</x:v>
      </x:c>
      <x:c r="F34" s="28" t="s">
        <x:v>272</x:v>
      </x:c>
      <x:c r="G34" s="28" t="s">
        <x:v>273</x:v>
      </x:c>
      <x:c r="H34" s="28" t="s">
        <x:v>274</x:v>
      </x:c>
      <x:c r="I34" s="28" t="s">
        <x:v>275</x:v>
      </x:c>
      <x:c r="J34" s="28" t="s">
        <x:v>276</x:v>
      </x:c>
      <x:c r="K34" s="28" t="s">
        <x:v>25</x:v>
      </x:c>
      <x:c r="L34" s="28" t="s">
        <x:v>25</x:v>
      </x:c>
      <x:c r="M34" s="28" t="s">
        <x:v>26</x:v>
      </x:c>
      <x:c r="N34" s="28" t="s">
        <x:v>27</x:v>
      </x:c>
      <x:c r="O34" s="28" t="s">
        <x:v>28</x:v>
      </x:c>
      <x:c r="P34" s="29" t="s">
        <x:v>29</x:v>
      </x:c>
    </x:row>
    <x:row r="35">
      <x:c r="A35" s="27">
        <x:v>1035</x:v>
      </x:c>
      <x:c r="B35" s="28" t="s">
        <x:v>277</x:v>
      </x:c>
      <x:c r="C35" s="28" t="s">
        <x:v>278</x:v>
      </x:c>
      <x:c r="D35" s="28" t="s">
        <x:v>71</x:v>
      </x:c>
      <x:c r="E35" s="28" t="s">
        <x:v>53</x:v>
      </x:c>
      <x:c r="F35" s="28" t="s">
        <x:v>279</x:v>
      </x:c>
      <x:c r="G35" s="28" t="s">
        <x:v>280</x:v>
      </x:c>
      <x:c r="H35" s="28" t="s">
        <x:v>281</x:v>
      </x:c>
      <x:c r="I35" s="28" t="s">
        <x:v>282</x:v>
      </x:c>
      <x:c r="J35" s="28" t="s">
        <x:v>283</x:v>
      </x:c>
      <x:c r="K35" s="28" t="s">
        <x:v>25</x:v>
      </x:c>
      <x:c r="L35" s="28" t="s">
        <x:v>25</x:v>
      </x:c>
      <x:c r="M35" s="28" t="s">
        <x:v>26</x:v>
      </x:c>
      <x:c r="N35" s="28" t="s">
        <x:v>39</x:v>
      </x:c>
      <x:c r="O35" s="28" t="s">
        <x:v>28</x:v>
      </x:c>
      <x:c r="P35" s="29" t="s">
        <x:v>29</x:v>
      </x:c>
    </x:row>
    <x:row r="36">
      <x:c r="A36" s="27">
        <x:v>1036</x:v>
      </x:c>
      <x:c r="B36" s="28" t="s">
        <x:v>284</x:v>
      </x:c>
      <x:c r="C36" s="28" t="s">
        <x:v>285</x:v>
      </x:c>
      <x:c r="D36" s="28" t="s">
        <x:v>80</x:v>
      </x:c>
      <x:c r="E36" s="28" t="s">
        <x:v>63</x:v>
      </x:c>
      <x:c r="F36" s="28" t="s">
        <x:v>286</x:v>
      </x:c>
      <x:c r="G36" s="28" t="s">
        <x:v>287</x:v>
      </x:c>
      <x:c r="H36" s="28" t="s">
        <x:v>288</x:v>
      </x:c>
      <x:c r="I36" s="28" t="s">
        <x:v>289</x:v>
      </x:c>
      <x:c r="J36" s="28" t="s">
        <x:v>290</x:v>
      </x:c>
      <x:c r="K36" s="28" t="s">
        <x:v>25</x:v>
      </x:c>
      <x:c r="L36" s="28" t="s">
        <x:v>25</x:v>
      </x:c>
      <x:c r="M36" s="28" t="s">
        <x:v>26</x:v>
      </x:c>
      <x:c r="N36" s="28" t="s">
        <x:v>49</x:v>
      </x:c>
      <x:c r="O36" s="28" t="s">
        <x:v>28</x:v>
      </x:c>
      <x:c r="P36" s="29" t="s">
        <x:v>29</x:v>
      </x:c>
    </x:row>
    <x:row r="37">
      <x:c r="A37" s="27">
        <x:v>1037</x:v>
      </x:c>
      <x:c r="B37" s="28" t="s">
        <x:v>291</x:v>
      </x:c>
      <x:c r="C37" s="28" t="s">
        <x:v>292</x:v>
      </x:c>
      <x:c r="D37" s="28" t="s">
        <x:v>88</x:v>
      </x:c>
      <x:c r="E37" s="28" t="s">
        <x:v>72</x:v>
      </x:c>
      <x:c r="F37" s="28" t="s">
        <x:v>293</x:v>
      </x:c>
      <x:c r="G37" s="28" t="s">
        <x:v>294</x:v>
      </x:c>
      <x:c r="H37" s="28" t="s">
        <x:v>295</x:v>
      </x:c>
      <x:c r="I37" s="28" t="s">
        <x:v>296</x:v>
      </x:c>
      <x:c r="J37" s="28" t="s">
        <x:v>297</x:v>
      </x:c>
      <x:c r="K37" s="28" t="s">
        <x:v>239</x:v>
      </x:c>
      <x:c r="L37" s="28" t="s">
        <x:v>25</x:v>
      </x:c>
      <x:c r="M37" s="28" t="s">
        <x:v>240</x:v>
      </x:c>
      <x:c r="N37" s="28" t="s">
        <x:v>59</x:v>
      </x:c>
      <x:c r="O37" s="28" t="s">
        <x:v>241</x:v>
      </x:c>
      <x:c r="P37" s="29" t="s">
        <x:v>241</x:v>
      </x:c>
    </x:row>
    <x:row r="38">
      <x:c r="A38" s="27">
        <x:v>1038</x:v>
      </x:c>
      <x:c r="B38" s="28" t="s">
        <x:v>298</x:v>
      </x:c>
      <x:c r="C38" s="28" t="s">
        <x:v>299</x:v>
      </x:c>
      <x:c r="D38" s="28" t="s">
        <x:v>96</x:v>
      </x:c>
      <x:c r="E38" s="28" t="s">
        <x:v>19</x:v>
      </x:c>
      <x:c r="F38" s="28" t="s">
        <x:v>300</x:v>
      </x:c>
      <x:c r="G38" s="28" t="s">
        <x:v>301</x:v>
      </x:c>
      <x:c r="H38" s="28" t="s">
        <x:v>302</x:v>
      </x:c>
      <x:c r="I38" s="28" t="s">
        <x:v>303</x:v>
      </x:c>
      <x:c r="J38" s="28" t="s">
        <x:v>304</x:v>
      </x:c>
      <x:c r="K38" s="28" t="s">
        <x:v>25</x:v>
      </x:c>
      <x:c r="L38" s="28" t="s">
        <x:v>25</x:v>
      </x:c>
      <x:c r="M38" s="28" t="s">
        <x:v>26</x:v>
      </x:c>
      <x:c r="N38" s="28" t="s">
        <x:v>27</x:v>
      </x:c>
      <x:c r="O38" s="28" t="s">
        <x:v>28</x:v>
      </x:c>
      <x:c r="P38" s="29" t="s">
        <x:v>29</x:v>
      </x:c>
    </x:row>
    <x:row r="39">
      <x:c r="A39" s="27">
        <x:v>1039</x:v>
      </x:c>
      <x:c r="B39" s="28" t="s">
        <x:v>305</x:v>
      </x:c>
      <x:c r="C39" s="28" t="s">
        <x:v>306</x:v>
      </x:c>
      <x:c r="D39" s="28" t="s">
        <x:v>104</x:v>
      </x:c>
      <x:c r="E39" s="28" t="s">
        <x:v>33</x:v>
      </x:c>
      <x:c r="F39" s="28" t="s">
        <x:v>307</x:v>
      </x:c>
      <x:c r="G39" s="28" t="s">
        <x:v>308</x:v>
      </x:c>
      <x:c r="H39" s="28" t="s">
        <x:v>309</x:v>
      </x:c>
      <x:c r="I39" s="28" t="s">
        <x:v>310</x:v>
      </x:c>
      <x:c r="J39" s="28" t="s">
        <x:v>311</x:v>
      </x:c>
      <x:c r="K39" s="28" t="s">
        <x:v>25</x:v>
      </x:c>
      <x:c r="L39" s="28" t="s">
        <x:v>25</x:v>
      </x:c>
      <x:c r="M39" s="28" t="s">
        <x:v>26</x:v>
      </x:c>
      <x:c r="N39" s="28" t="s">
        <x:v>39</x:v>
      </x:c>
      <x:c r="O39" s="28" t="s">
        <x:v>28</x:v>
      </x:c>
      <x:c r="P39" s="29" t="s">
        <x:v>29</x:v>
      </x:c>
    </x:row>
    <x:row r="40">
      <x:c r="A40" s="27">
        <x:v>1040</x:v>
      </x:c>
      <x:c r="B40" s="28" t="s">
        <x:v>312</x:v>
      </x:c>
      <x:c r="C40" s="28" t="s">
        <x:v>313</x:v>
      </x:c>
      <x:c r="D40" s="28" t="s">
        <x:v>112</x:v>
      </x:c>
      <x:c r="E40" s="28" t="s">
        <x:v>43</x:v>
      </x:c>
      <x:c r="F40" s="28" t="s">
        <x:v>314</x:v>
      </x:c>
      <x:c r="G40" s="28" t="s">
        <x:v>315</x:v>
      </x:c>
      <x:c r="H40" s="28" t="s">
        <x:v>316</x:v>
      </x:c>
      <x:c r="I40" s="28" t="s">
        <x:v>317</x:v>
      </x:c>
      <x:c r="J40" s="28" t="s">
        <x:v>318</x:v>
      </x:c>
      <x:c r="K40" s="28" t="s">
        <x:v>25</x:v>
      </x:c>
      <x:c r="L40" s="28" t="s">
        <x:v>25</x:v>
      </x:c>
      <x:c r="M40" s="28" t="s">
        <x:v>26</x:v>
      </x:c>
      <x:c r="N40" s="28" t="s">
        <x:v>49</x:v>
      </x:c>
      <x:c r="O40" s="28" t="s">
        <x:v>28</x:v>
      </x:c>
      <x:c r="P40" s="29" t="s">
        <x:v>29</x:v>
      </x:c>
    </x:row>
    <x:row r="41">
      <x:c r="A41" s="27">
        <x:v>1041</x:v>
      </x:c>
      <x:c r="B41" s="28" t="s">
        <x:v>319</x:v>
      </x:c>
      <x:c r="C41" s="28" t="s">
        <x:v>320</x:v>
      </x:c>
      <x:c r="D41" s="28" t="s">
        <x:v>120</x:v>
      </x:c>
      <x:c r="E41" s="28" t="s">
        <x:v>53</x:v>
      </x:c>
      <x:c r="F41" s="28" t="s">
        <x:v>321</x:v>
      </x:c>
      <x:c r="G41" s="28" t="s">
        <x:v>322</x:v>
      </x:c>
      <x:c r="H41" s="28" t="s">
        <x:v>323</x:v>
      </x:c>
      <x:c r="I41" s="28" t="s">
        <x:v>324</x:v>
      </x:c>
      <x:c r="J41" s="28" t="s">
        <x:v>325</x:v>
      </x:c>
      <x:c r="K41" s="28" t="s">
        <x:v>25</x:v>
      </x:c>
      <x:c r="L41" s="28" t="s">
        <x:v>25</x:v>
      </x:c>
      <x:c r="M41" s="28" t="s">
        <x:v>26</x:v>
      </x:c>
      <x:c r="N41" s="28" t="s">
        <x:v>59</x:v>
      </x:c>
      <x:c r="O41" s="28" t="s">
        <x:v>28</x:v>
      </x:c>
      <x:c r="P41" s="29" t="s">
        <x:v>29</x:v>
      </x:c>
    </x:row>
    <x:row r="42">
      <x:c r="A42" s="27">
        <x:v>1042</x:v>
      </x:c>
      <x:c r="B42" s="28" t="s">
        <x:v>326</x:v>
      </x:c>
      <x:c r="C42" s="28" t="s">
        <x:v>327</x:v>
      </x:c>
      <x:c r="D42" s="28" t="s">
        <x:v>128</x:v>
      </x:c>
      <x:c r="E42" s="28" t="s">
        <x:v>63</x:v>
      </x:c>
      <x:c r="F42" s="28" t="s">
        <x:v>328</x:v>
      </x:c>
      <x:c r="G42" s="28" t="s">
        <x:v>329</x:v>
      </x:c>
      <x:c r="H42" s="28" t="s">
        <x:v>330</x:v>
      </x:c>
      <x:c r="I42" s="28" t="s">
        <x:v>331</x:v>
      </x:c>
      <x:c r="J42" s="28" t="s">
        <x:v>332</x:v>
      </x:c>
      <x:c r="K42" s="28" t="s">
        <x:v>25</x:v>
      </x:c>
      <x:c r="L42" s="28" t="s">
        <x:v>25</x:v>
      </x:c>
      <x:c r="M42" s="28" t="s">
        <x:v>26</x:v>
      </x:c>
      <x:c r="N42" s="28" t="s">
        <x:v>27</x:v>
      </x:c>
      <x:c r="O42" s="28" t="s">
        <x:v>28</x:v>
      </x:c>
      <x:c r="P42" s="29" t="s">
        <x:v>29</x:v>
      </x:c>
    </x:row>
    <x:row r="43">
      <x:c r="A43" s="27">
        <x:v>1043</x:v>
      </x:c>
      <x:c r="B43" s="28" t="s">
        <x:v>333</x:v>
      </x:c>
      <x:c r="C43" s="28" t="s">
        <x:v>334</x:v>
      </x:c>
      <x:c r="D43" s="28" t="s">
        <x:v>136</x:v>
      </x:c>
      <x:c r="E43" s="28" t="s">
        <x:v>72</x:v>
      </x:c>
      <x:c r="F43" s="28" t="s">
        <x:v>335</x:v>
      </x:c>
      <x:c r="G43" s="28" t="s">
        <x:v>336</x:v>
      </x:c>
      <x:c r="H43" s="28" t="s">
        <x:v>337</x:v>
      </x:c>
      <x:c r="I43" s="28" t="s">
        <x:v>338</x:v>
      </x:c>
      <x:c r="J43" s="28" t="s">
        <x:v>339</x:v>
      </x:c>
      <x:c r="K43" s="28" t="s">
        <x:v>25</x:v>
      </x:c>
      <x:c r="L43" s="28" t="s">
        <x:v>25</x:v>
      </x:c>
      <x:c r="M43" s="28" t="s">
        <x:v>26</x:v>
      </x:c>
      <x:c r="N43" s="28" t="s">
        <x:v>39</x:v>
      </x:c>
      <x:c r="O43" s="28" t="s">
        <x:v>28</x:v>
      </x:c>
      <x:c r="P43" s="29" t="s">
        <x:v>29</x:v>
      </x:c>
    </x:row>
    <x:row r="44">
      <x:c r="A44" s="27">
        <x:v>1044</x:v>
      </x:c>
      <x:c r="B44" s="28" t="s">
        <x:v>340</x:v>
      </x:c>
      <x:c r="C44" s="28" t="s">
        <x:v>341</x:v>
      </x:c>
      <x:c r="D44" s="28" t="s">
        <x:v>18</x:v>
      </x:c>
      <x:c r="E44" s="28" t="s">
        <x:v>19</x:v>
      </x:c>
      <x:c r="F44" s="28" t="s">
        <x:v>342</x:v>
      </x:c>
      <x:c r="G44" s="28" t="s">
        <x:v>343</x:v>
      </x:c>
      <x:c r="H44" s="28" t="s">
        <x:v>344</x:v>
      </x:c>
      <x:c r="I44" s="28" t="s">
        <x:v>345</x:v>
      </x:c>
      <x:c r="J44" s="28" t="s">
        <x:v>346</x:v>
      </x:c>
      <x:c r="K44" s="28" t="s">
        <x:v>25</x:v>
      </x:c>
      <x:c r="L44" s="28" t="s">
        <x:v>25</x:v>
      </x:c>
      <x:c r="M44" s="28" t="s">
        <x:v>26</x:v>
      </x:c>
      <x:c r="N44" s="28" t="s">
        <x:v>49</x:v>
      </x:c>
      <x:c r="O44" s="28" t="s">
        <x:v>28</x:v>
      </x:c>
      <x:c r="P44" s="29" t="s">
        <x:v>29</x:v>
      </x:c>
    </x:row>
    <x:row r="45">
      <x:c r="A45" s="27">
        <x:v>1045</x:v>
      </x:c>
      <x:c r="B45" s="28" t="s">
        <x:v>347</x:v>
      </x:c>
      <x:c r="C45" s="28" t="s">
        <x:v>348</x:v>
      </x:c>
      <x:c r="D45" s="28" t="s">
        <x:v>32</x:v>
      </x:c>
      <x:c r="E45" s="28" t="s">
        <x:v>33</x:v>
      </x:c>
      <x:c r="F45" s="28" t="s">
        <x:v>349</x:v>
      </x:c>
      <x:c r="G45" s="28" t="s">
        <x:v>350</x:v>
      </x:c>
      <x:c r="H45" s="28" t="s">
        <x:v>351</x:v>
      </x:c>
      <x:c r="I45" s="28" t="s">
        <x:v>352</x:v>
      </x:c>
      <x:c r="J45" s="28" t="s">
        <x:v>353</x:v>
      </x:c>
      <x:c r="K45" s="28" t="s">
        <x:v>25</x:v>
      </x:c>
      <x:c r="L45" s="28" t="s">
        <x:v>25</x:v>
      </x:c>
      <x:c r="M45" s="28" t="s">
        <x:v>26</x:v>
      </x:c>
      <x:c r="N45" s="28" t="s">
        <x:v>59</x:v>
      </x:c>
      <x:c r="O45" s="28" t="s">
        <x:v>28</x:v>
      </x:c>
      <x:c r="P45" s="29" t="s">
        <x:v>29</x:v>
      </x:c>
    </x:row>
    <x:row r="46">
      <x:c r="A46" s="27">
        <x:v>1046</x:v>
      </x:c>
      <x:c r="B46" s="28" t="s">
        <x:v>354</x:v>
      </x:c>
      <x:c r="C46" s="28" t="s">
        <x:v>355</x:v>
      </x:c>
      <x:c r="D46" s="28" t="s">
        <x:v>42</x:v>
      </x:c>
      <x:c r="E46" s="28" t="s">
        <x:v>43</x:v>
      </x:c>
      <x:c r="F46" s="28" t="s">
        <x:v>356</x:v>
      </x:c>
      <x:c r="G46" s="28" t="s">
        <x:v>357</x:v>
      </x:c>
      <x:c r="H46" s="28" t="s">
        <x:v>358</x:v>
      </x:c>
      <x:c r="I46" s="28" t="s">
        <x:v>359</x:v>
      </x:c>
      <x:c r="J46" s="28" t="s">
        <x:v>360</x:v>
      </x:c>
      <x:c r="K46" s="28" t="s">
        <x:v>25</x:v>
      </x:c>
      <x:c r="L46" s="28" t="s">
        <x:v>25</x:v>
      </x:c>
      <x:c r="M46" s="28" t="s">
        <x:v>26</x:v>
      </x:c>
      <x:c r="N46" s="28" t="s">
        <x:v>27</x:v>
      </x:c>
      <x:c r="O46" s="28" t="s">
        <x:v>28</x:v>
      </x:c>
      <x:c r="P46" s="29" t="s">
        <x:v>29</x:v>
      </x:c>
    </x:row>
    <x:row r="47">
      <x:c r="A47" s="27">
        <x:v>1047</x:v>
      </x:c>
      <x:c r="B47" s="28" t="s">
        <x:v>361</x:v>
      </x:c>
      <x:c r="C47" s="28" t="s">
        <x:v>362</x:v>
      </x:c>
      <x:c r="D47" s="28" t="s">
        <x:v>52</x:v>
      </x:c>
      <x:c r="E47" s="28" t="s">
        <x:v>53</x:v>
      </x:c>
      <x:c r="F47" s="28" t="s">
        <x:v>363</x:v>
      </x:c>
      <x:c r="G47" s="28" t="s">
        <x:v>364</x:v>
      </x:c>
      <x:c r="H47" s="28" t="s">
        <x:v>365</x:v>
      </x:c>
      <x:c r="I47" s="28" t="s">
        <x:v>366</x:v>
      </x:c>
      <x:c r="J47" s="28" t="s">
        <x:v>367</x:v>
      </x:c>
      <x:c r="K47" s="28" t="s">
        <x:v>25</x:v>
      </x:c>
      <x:c r="L47" s="28" t="s">
        <x:v>25</x:v>
      </x:c>
      <x:c r="M47" s="28" t="s">
        <x:v>26</x:v>
      </x:c>
      <x:c r="N47" s="28" t="s">
        <x:v>39</x:v>
      </x:c>
      <x:c r="O47" s="28" t="s">
        <x:v>28</x:v>
      </x:c>
      <x:c r="P47" s="29" t="s">
        <x:v>29</x:v>
      </x:c>
    </x:row>
    <x:row r="48">
      <x:c r="A48" s="27">
        <x:v>1048</x:v>
      </x:c>
      <x:c r="B48" s="28" t="s">
        <x:v>368</x:v>
      </x:c>
      <x:c r="C48" s="28" t="s">
        <x:v>369</x:v>
      </x:c>
      <x:c r="D48" s="28" t="s">
        <x:v>62</x:v>
      </x:c>
      <x:c r="E48" s="28" t="s">
        <x:v>63</x:v>
      </x:c>
      <x:c r="F48" s="28" t="s">
        <x:v>370</x:v>
      </x:c>
      <x:c r="G48" s="28" t="s">
        <x:v>371</x:v>
      </x:c>
      <x:c r="H48" s="28" t="s">
        <x:v>372</x:v>
      </x:c>
      <x:c r="I48" s="28" t="s">
        <x:v>373</x:v>
      </x:c>
      <x:c r="J48" s="28" t="s">
        <x:v>374</x:v>
      </x:c>
      <x:c r="K48" s="28" t="s">
        <x:v>25</x:v>
      </x:c>
      <x:c r="L48" s="28" t="s">
        <x:v>25</x:v>
      </x:c>
      <x:c r="M48" s="28" t="s">
        <x:v>26</x:v>
      </x:c>
      <x:c r="N48" s="28" t="s">
        <x:v>49</x:v>
      </x:c>
      <x:c r="O48" s="28" t="s">
        <x:v>28</x:v>
      </x:c>
      <x:c r="P48" s="29" t="s">
        <x:v>29</x:v>
      </x:c>
    </x:row>
    <x:row r="49">
      <x:c r="A49" s="27">
        <x:v>1049</x:v>
      </x:c>
      <x:c r="B49" s="28" t="s">
        <x:v>375</x:v>
      </x:c>
      <x:c r="C49" s="28" t="s">
        <x:v>376</x:v>
      </x:c>
      <x:c r="D49" s="28" t="s">
        <x:v>71</x:v>
      </x:c>
      <x:c r="E49" s="28" t="s">
        <x:v>72</x:v>
      </x:c>
      <x:c r="F49" s="28" t="s">
        <x:v>377</x:v>
      </x:c>
      <x:c r="G49" s="28" t="s">
        <x:v>378</x:v>
      </x:c>
      <x:c r="H49" s="28" t="s">
        <x:v>379</x:v>
      </x:c>
      <x:c r="I49" s="28" t="s">
        <x:v>380</x:v>
      </x:c>
      <x:c r="J49" s="28" t="s">
        <x:v>381</x:v>
      </x:c>
      <x:c r="K49" s="28" t="s">
        <x:v>25</x:v>
      </x:c>
      <x:c r="L49" s="28" t="s">
        <x:v>25</x:v>
      </x:c>
      <x:c r="M49" s="28" t="s">
        <x:v>26</x:v>
      </x:c>
      <x:c r="N49" s="28" t="s">
        <x:v>59</x:v>
      </x:c>
      <x:c r="O49" s="28" t="s">
        <x:v>28</x:v>
      </x:c>
      <x:c r="P49" s="29" t="s">
        <x:v>29</x:v>
      </x:c>
    </x:row>
    <x:row r="50">
      <x:c r="A50" s="27">
        <x:v>1050</x:v>
      </x:c>
      <x:c r="B50" s="28" t="s">
        <x:v>382</x:v>
      </x:c>
      <x:c r="C50" s="28" t="s">
        <x:v>383</x:v>
      </x:c>
      <x:c r="D50" s="28" t="s">
        <x:v>80</x:v>
      </x:c>
      <x:c r="E50" s="28" t="s">
        <x:v>19</x:v>
      </x:c>
      <x:c r="F50" s="28" t="s">
        <x:v>384</x:v>
      </x:c>
      <x:c r="G50" s="28" t="s">
        <x:v>385</x:v>
      </x:c>
      <x:c r="H50" s="28" t="s">
        <x:v>386</x:v>
      </x:c>
      <x:c r="I50" s="28" t="s">
        <x:v>387</x:v>
      </x:c>
      <x:c r="J50" s="28" t="s">
        <x:v>388</x:v>
      </x:c>
      <x:c r="K50" s="28" t="s">
        <x:v>25</x:v>
      </x:c>
      <x:c r="L50" s="28" t="s">
        <x:v>25</x:v>
      </x:c>
      <x:c r="M50" s="28" t="s">
        <x:v>26</x:v>
      </x:c>
      <x:c r="N50" s="28" t="s">
        <x:v>27</x:v>
      </x:c>
      <x:c r="O50" s="28" t="s">
        <x:v>28</x:v>
      </x:c>
      <x:c r="P50" s="29" t="s">
        <x:v>29</x:v>
      </x:c>
    </x:row>
    <x:row r="51">
      <x:c r="A51" s="27">
        <x:v>1051</x:v>
      </x:c>
      <x:c r="B51" s="28" t="s">
        <x:v>389</x:v>
      </x:c>
      <x:c r="C51" s="28" t="s">
        <x:v>390</x:v>
      </x:c>
      <x:c r="D51" s="28" t="s">
        <x:v>88</x:v>
      </x:c>
      <x:c r="E51" s="28" t="s">
        <x:v>33</x:v>
      </x:c>
      <x:c r="F51" s="28" t="s">
        <x:v>391</x:v>
      </x:c>
      <x:c r="G51" s="28" t="s">
        <x:v>392</x:v>
      </x:c>
      <x:c r="H51" s="28" t="s">
        <x:v>393</x:v>
      </x:c>
      <x:c r="I51" s="28" t="s">
        <x:v>394</x:v>
      </x:c>
      <x:c r="J51" s="28" t="s">
        <x:v>395</x:v>
      </x:c>
      <x:c r="K51" s="28" t="s">
        <x:v>25</x:v>
      </x:c>
      <x:c r="L51" s="28" t="s">
        <x:v>25</x:v>
      </x:c>
      <x:c r="M51" s="28" t="s">
        <x:v>26</x:v>
      </x:c>
      <x:c r="N51" s="28" t="s">
        <x:v>39</x:v>
      </x:c>
      <x:c r="O51" s="28" t="s">
        <x:v>28</x:v>
      </x:c>
      <x:c r="P51" s="29" t="s">
        <x:v>29</x:v>
      </x:c>
    </x:row>
    <x:row r="52">
      <x:c r="A52" s="27">
        <x:v>1052</x:v>
      </x:c>
      <x:c r="B52" s="28" t="s">
        <x:v>396</x:v>
      </x:c>
      <x:c r="C52" s="28" t="s">
        <x:v>397</x:v>
      </x:c>
      <x:c r="D52" s="28" t="s">
        <x:v>96</x:v>
      </x:c>
      <x:c r="E52" s="28" t="s">
        <x:v>43</x:v>
      </x:c>
      <x:c r="F52" s="28" t="s">
        <x:v>398</x:v>
      </x:c>
      <x:c r="G52" s="28" t="s">
        <x:v>399</x:v>
      </x:c>
      <x:c r="H52" s="28" t="s">
        <x:v>400</x:v>
      </x:c>
      <x:c r="I52" s="28" t="s">
        <x:v>401</x:v>
      </x:c>
      <x:c r="J52" s="28" t="s">
        <x:v>402</x:v>
      </x:c>
      <x:c r="K52" s="28" t="s">
        <x:v>25</x:v>
      </x:c>
      <x:c r="L52" s="28" t="s">
        <x:v>25</x:v>
      </x:c>
      <x:c r="M52" s="28" t="s">
        <x:v>26</x:v>
      </x:c>
      <x:c r="N52" s="28" t="s">
        <x:v>49</x:v>
      </x:c>
      <x:c r="O52" s="28" t="s">
        <x:v>28</x:v>
      </x:c>
      <x:c r="P52" s="29" t="s">
        <x:v>29</x:v>
      </x:c>
    </x:row>
    <x:row r="53">
      <x:c r="A53" s="27">
        <x:v>1053</x:v>
      </x:c>
      <x:c r="B53" s="28" t="s">
        <x:v>403</x:v>
      </x:c>
      <x:c r="C53" s="28" t="s">
        <x:v>404</x:v>
      </x:c>
      <x:c r="D53" s="28" t="s">
        <x:v>104</x:v>
      </x:c>
      <x:c r="E53" s="28" t="s">
        <x:v>53</x:v>
      </x:c>
      <x:c r="F53" s="28" t="s">
        <x:v>405</x:v>
      </x:c>
      <x:c r="G53" s="28" t="s">
        <x:v>406</x:v>
      </x:c>
      <x:c r="H53" s="28" t="s">
        <x:v>407</x:v>
      </x:c>
      <x:c r="I53" s="28" t="s">
        <x:v>408</x:v>
      </x:c>
      <x:c r="J53" s="28" t="s">
        <x:v>409</x:v>
      </x:c>
      <x:c r="K53" s="28" t="s">
        <x:v>25</x:v>
      </x:c>
      <x:c r="L53" s="28" t="s">
        <x:v>25</x:v>
      </x:c>
      <x:c r="M53" s="28" t="s">
        <x:v>26</x:v>
      </x:c>
      <x:c r="N53" s="28" t="s">
        <x:v>59</x:v>
      </x:c>
      <x:c r="O53" s="28" t="s">
        <x:v>28</x:v>
      </x:c>
      <x:c r="P53" s="29" t="s">
        <x:v>29</x:v>
      </x:c>
    </x:row>
    <x:row r="54">
      <x:c r="A54" s="27">
        <x:v>1054</x:v>
      </x:c>
      <x:c r="B54" s="28" t="s">
        <x:v>410</x:v>
      </x:c>
      <x:c r="C54" s="28" t="s">
        <x:v>411</x:v>
      </x:c>
      <x:c r="D54" s="28" t="s">
        <x:v>112</x:v>
      </x:c>
      <x:c r="E54" s="28" t="s">
        <x:v>63</x:v>
      </x:c>
      <x:c r="F54" s="28" t="s">
        <x:v>412</x:v>
      </x:c>
      <x:c r="G54" s="28" t="s">
        <x:v>413</x:v>
      </x:c>
      <x:c r="H54" s="28" t="s">
        <x:v>414</x:v>
      </x:c>
      <x:c r="I54" s="28" t="s">
        <x:v>415</x:v>
      </x:c>
      <x:c r="J54" s="28" t="s">
        <x:v>416</x:v>
      </x:c>
      <x:c r="K54" s="28" t="s">
        <x:v>25</x:v>
      </x:c>
      <x:c r="L54" s="28" t="s">
        <x:v>25</x:v>
      </x:c>
      <x:c r="M54" s="28" t="s">
        <x:v>26</x:v>
      </x:c>
      <x:c r="N54" s="28" t="s">
        <x:v>27</x:v>
      </x:c>
      <x:c r="O54" s="28" t="s">
        <x:v>28</x:v>
      </x:c>
      <x:c r="P54" s="29" t="s">
        <x:v>29</x:v>
      </x:c>
    </x:row>
    <x:row r="55">
      <x:c r="A55" s="27">
        <x:v>1055</x:v>
      </x:c>
      <x:c r="B55" s="28" t="s">
        <x:v>417</x:v>
      </x:c>
      <x:c r="C55" s="28" t="s">
        <x:v>418</x:v>
      </x:c>
      <x:c r="D55" s="28" t="s">
        <x:v>120</x:v>
      </x:c>
      <x:c r="E55" s="28" t="s">
        <x:v>72</x:v>
      </x:c>
      <x:c r="F55" s="28" t="s">
        <x:v>419</x:v>
      </x:c>
      <x:c r="G55" s="28" t="s">
        <x:v>420</x:v>
      </x:c>
      <x:c r="H55" s="28" t="s">
        <x:v>421</x:v>
      </x:c>
      <x:c r="I55" s="28" t="s">
        <x:v>422</x:v>
      </x:c>
      <x:c r="J55" s="28" t="s">
        <x:v>423</x:v>
      </x:c>
      <x:c r="K55" s="28" t="s">
        <x:v>25</x:v>
      </x:c>
      <x:c r="L55" s="28" t="s">
        <x:v>25</x:v>
      </x:c>
      <x:c r="M55" s="28" t="s">
        <x:v>26</x:v>
      </x:c>
      <x:c r="N55" s="28" t="s">
        <x:v>39</x:v>
      </x:c>
      <x:c r="O55" s="28" t="s">
        <x:v>28</x:v>
      </x:c>
      <x:c r="P55" s="29" t="s">
        <x:v>29</x:v>
      </x:c>
    </x:row>
    <x:row r="56">
      <x:c r="A56" s="27">
        <x:v>1056</x:v>
      </x:c>
      <x:c r="B56" s="28" t="s">
        <x:v>424</x:v>
      </x:c>
      <x:c r="C56" s="28" t="s">
        <x:v>425</x:v>
      </x:c>
      <x:c r="D56" s="28" t="s">
        <x:v>128</x:v>
      </x:c>
      <x:c r="E56" s="28" t="s">
        <x:v>19</x:v>
      </x:c>
      <x:c r="F56" s="28" t="s">
        <x:v>426</x:v>
      </x:c>
      <x:c r="G56" s="28" t="s">
        <x:v>427</x:v>
      </x:c>
      <x:c r="H56" s="28" t="s">
        <x:v>428</x:v>
      </x:c>
      <x:c r="I56" s="28" t="s">
        <x:v>429</x:v>
      </x:c>
      <x:c r="J56" s="28" t="s">
        <x:v>430</x:v>
      </x:c>
      <x:c r="K56" s="28" t="s">
        <x:v>25</x:v>
      </x:c>
      <x:c r="L56" s="28" t="s">
        <x:v>25</x:v>
      </x:c>
      <x:c r="M56" s="28" t="s">
        <x:v>26</x:v>
      </x:c>
      <x:c r="N56" s="28" t="s">
        <x:v>49</x:v>
      </x:c>
      <x:c r="O56" s="28" t="s">
        <x:v>28</x:v>
      </x:c>
      <x:c r="P56" s="29" t="s">
        <x:v>29</x:v>
      </x:c>
    </x:row>
    <x:row r="57">
      <x:c r="A57" s="27">
        <x:v>1057</x:v>
      </x:c>
      <x:c r="B57" s="28" t="s">
        <x:v>431</x:v>
      </x:c>
      <x:c r="C57" s="28" t="s">
        <x:v>432</x:v>
      </x:c>
      <x:c r="D57" s="28" t="s">
        <x:v>136</x:v>
      </x:c>
      <x:c r="E57" s="28" t="s">
        <x:v>33</x:v>
      </x:c>
      <x:c r="F57" s="28" t="s">
        <x:v>433</x:v>
      </x:c>
      <x:c r="G57" s="28" t="s">
        <x:v>434</x:v>
      </x:c>
      <x:c r="H57" s="28" t="s">
        <x:v>435</x:v>
      </x:c>
      <x:c r="I57" s="28" t="s">
        <x:v>436</x:v>
      </x:c>
      <x:c r="J57" s="28" t="s">
        <x:v>437</x:v>
      </x:c>
      <x:c r="K57" s="28" t="s">
        <x:v>25</x:v>
      </x:c>
      <x:c r="L57" s="28" t="s">
        <x:v>25</x:v>
      </x:c>
      <x:c r="M57" s="28" t="s">
        <x:v>26</x:v>
      </x:c>
      <x:c r="N57" s="28" t="s">
        <x:v>59</x:v>
      </x:c>
      <x:c r="O57" s="28" t="s">
        <x:v>28</x:v>
      </x:c>
      <x:c r="P57" s="29" t="s">
        <x:v>29</x:v>
      </x:c>
    </x:row>
    <x:row r="58">
      <x:c r="A58" s="27">
        <x:v>1058</x:v>
      </x:c>
      <x:c r="B58" s="28" t="s">
        <x:v>438</x:v>
      </x:c>
      <x:c r="C58" s="28" t="s">
        <x:v>439</x:v>
      </x:c>
      <x:c r="D58" s="28" t="s">
        <x:v>18</x:v>
      </x:c>
      <x:c r="E58" s="28" t="s">
        <x:v>43</x:v>
      </x:c>
      <x:c r="F58" s="28"/>
      <x:c r="G58" s="28" t="s">
        <x:v>440</x:v>
      </x:c>
      <x:c r="H58" s="28" t="s">
        <x:v>441</x:v>
      </x:c>
      <x:c r="I58" s="28" t="s">
        <x:v>442</x:v>
      </x:c>
      <x:c r="J58" s="28" t="s">
        <x:v>443</x:v>
      </x:c>
      <x:c r="K58" s="28" t="s">
        <x:v>25</x:v>
      </x:c>
      <x:c r="L58" s="28" t="s">
        <x:v>239</x:v>
      </x:c>
      <x:c r="M58" s="28" t="s">
        <x:v>240</x:v>
      </x:c>
      <x:c r="N58" s="28" t="s">
        <x:v>27</x:v>
      </x:c>
      <x:c r="O58" s="28" t="s">
        <x:v>241</x:v>
      </x:c>
      <x:c r="P58" s="29" t="s">
        <x:v>241</x:v>
      </x:c>
    </x:row>
    <x:row r="59">
      <x:c r="A59" s="27">
        <x:v>1059</x:v>
      </x:c>
      <x:c r="B59" s="28" t="s">
        <x:v>444</x:v>
      </x:c>
      <x:c r="C59" s="28" t="s">
        <x:v>445</x:v>
      </x:c>
      <x:c r="D59" s="28" t="s">
        <x:v>32</x:v>
      </x:c>
      <x:c r="E59" s="28" t="s">
        <x:v>53</x:v>
      </x:c>
      <x:c r="F59" s="28" t="s">
        <x:v>446</x:v>
      </x:c>
      <x:c r="G59" s="28" t="s">
        <x:v>447</x:v>
      </x:c>
      <x:c r="H59" s="28" t="s">
        <x:v>448</x:v>
      </x:c>
      <x:c r="I59" s="28" t="s">
        <x:v>449</x:v>
      </x:c>
      <x:c r="J59" s="28" t="s">
        <x:v>450</x:v>
      </x:c>
      <x:c r="K59" s="28" t="s">
        <x:v>25</x:v>
      </x:c>
      <x:c r="L59" s="28" t="s">
        <x:v>25</x:v>
      </x:c>
      <x:c r="M59" s="28" t="s">
        <x:v>26</x:v>
      </x:c>
      <x:c r="N59" s="28" t="s">
        <x:v>39</x:v>
      </x:c>
      <x:c r="O59" s="28" t="s">
        <x:v>28</x:v>
      </x:c>
      <x:c r="P59" s="29" t="s">
        <x:v>29</x:v>
      </x:c>
    </x:row>
    <x:row r="60">
      <x:c r="A60" s="27">
        <x:v>1060</x:v>
      </x:c>
      <x:c r="B60" s="28" t="s">
        <x:v>451</x:v>
      </x:c>
      <x:c r="C60" s="28" t="s">
        <x:v>452</x:v>
      </x:c>
      <x:c r="D60" s="28" t="s">
        <x:v>42</x:v>
      </x:c>
      <x:c r="E60" s="28" t="s">
        <x:v>63</x:v>
      </x:c>
      <x:c r="F60" s="28" t="s">
        <x:v>453</x:v>
      </x:c>
      <x:c r="G60" s="28" t="s">
        <x:v>454</x:v>
      </x:c>
      <x:c r="H60" s="28" t="s">
        <x:v>455</x:v>
      </x:c>
      <x:c r="I60" s="28" t="s">
        <x:v>456</x:v>
      </x:c>
      <x:c r="J60" s="28" t="s">
        <x:v>457</x:v>
      </x:c>
      <x:c r="K60" s="28" t="s">
        <x:v>25</x:v>
      </x:c>
      <x:c r="L60" s="28" t="s">
        <x:v>25</x:v>
      </x:c>
      <x:c r="M60" s="28" t="s">
        <x:v>26</x:v>
      </x:c>
      <x:c r="N60" s="28" t="s">
        <x:v>49</x:v>
      </x:c>
      <x:c r="O60" s="28" t="s">
        <x:v>28</x:v>
      </x:c>
      <x:c r="P60" s="29" t="s">
        <x:v>29</x:v>
      </x:c>
    </x:row>
    <x:row r="61">
      <x:c r="A61" s="27">
        <x:v>1061</x:v>
      </x:c>
      <x:c r="B61" s="28" t="s">
        <x:v>458</x:v>
      </x:c>
      <x:c r="C61" s="28" t="s">
        <x:v>459</x:v>
      </x:c>
      <x:c r="D61" s="28" t="s">
        <x:v>52</x:v>
      </x:c>
      <x:c r="E61" s="28" t="s">
        <x:v>72</x:v>
      </x:c>
      <x:c r="F61" s="28" t="s">
        <x:v>460</x:v>
      </x:c>
      <x:c r="G61" s="28" t="s">
        <x:v>461</x:v>
      </x:c>
      <x:c r="H61" s="28" t="s">
        <x:v>462</x:v>
      </x:c>
      <x:c r="I61" s="28" t="s">
        <x:v>463</x:v>
      </x:c>
      <x:c r="J61" s="28" t="s">
        <x:v>464</x:v>
      </x:c>
      <x:c r="K61" s="28" t="s">
        <x:v>25</x:v>
      </x:c>
      <x:c r="L61" s="28" t="s">
        <x:v>25</x:v>
      </x:c>
      <x:c r="M61" s="28" t="s">
        <x:v>26</x:v>
      </x:c>
      <x:c r="N61" s="28" t="s">
        <x:v>59</x:v>
      </x:c>
      <x:c r="O61" s="28" t="s">
        <x:v>28</x:v>
      </x:c>
      <x:c r="P61" s="29" t="s">
        <x:v>29</x:v>
      </x:c>
    </x:row>
    <x:row r="62">
      <x:c r="A62" s="27">
        <x:v>1062</x:v>
      </x:c>
      <x:c r="B62" s="28" t="s">
        <x:v>465</x:v>
      </x:c>
      <x:c r="C62" s="28" t="s">
        <x:v>466</x:v>
      </x:c>
      <x:c r="D62" s="28" t="s">
        <x:v>62</x:v>
      </x:c>
      <x:c r="E62" s="28" t="s">
        <x:v>19</x:v>
      </x:c>
      <x:c r="F62" s="28" t="s">
        <x:v>467</x:v>
      </x:c>
      <x:c r="G62" s="28" t="s">
        <x:v>468</x:v>
      </x:c>
      <x:c r="H62" s="28" t="s">
        <x:v>469</x:v>
      </x:c>
      <x:c r="I62" s="28" t="s">
        <x:v>470</x:v>
      </x:c>
      <x:c r="J62" s="28" t="s">
        <x:v>471</x:v>
      </x:c>
      <x:c r="K62" s="28" t="s">
        <x:v>25</x:v>
      </x:c>
      <x:c r="L62" s="28" t="s">
        <x:v>25</x:v>
      </x:c>
      <x:c r="M62" s="28" t="s">
        <x:v>26</x:v>
      </x:c>
      <x:c r="N62" s="28" t="s">
        <x:v>27</x:v>
      </x:c>
      <x:c r="O62" s="28" t="s">
        <x:v>28</x:v>
      </x:c>
      <x:c r="P62" s="29" t="s">
        <x:v>29</x:v>
      </x:c>
    </x:row>
    <x:row r="63">
      <x:c r="A63" s="27">
        <x:v>1063</x:v>
      </x:c>
      <x:c r="B63" s="28" t="s">
        <x:v>472</x:v>
      </x:c>
      <x:c r="C63" s="28" t="s">
        <x:v>473</x:v>
      </x:c>
      <x:c r="D63" s="28" t="s">
        <x:v>71</x:v>
      </x:c>
      <x:c r="E63" s="28" t="s">
        <x:v>33</x:v>
      </x:c>
      <x:c r="F63" s="28" t="s">
        <x:v>474</x:v>
      </x:c>
      <x:c r="G63" s="28" t="s">
        <x:v>475</x:v>
      </x:c>
      <x:c r="H63" s="28" t="s">
        <x:v>476</x:v>
      </x:c>
      <x:c r="I63" s="28" t="s">
        <x:v>477</x:v>
      </x:c>
      <x:c r="J63" s="28" t="s">
        <x:v>478</x:v>
      </x:c>
      <x:c r="K63" s="28" t="s">
        <x:v>25</x:v>
      </x:c>
      <x:c r="L63" s="28" t="s">
        <x:v>25</x:v>
      </x:c>
      <x:c r="M63" s="28" t="s">
        <x:v>26</x:v>
      </x:c>
      <x:c r="N63" s="28" t="s">
        <x:v>39</x:v>
      </x:c>
      <x:c r="O63" s="28" t="s">
        <x:v>28</x:v>
      </x:c>
      <x:c r="P63" s="29" t="s">
        <x:v>29</x:v>
      </x:c>
    </x:row>
    <x:row r="64">
      <x:c r="A64" s="27">
        <x:v>1064</x:v>
      </x:c>
      <x:c r="B64" s="28" t="s">
        <x:v>479</x:v>
      </x:c>
      <x:c r="C64" s="28" t="s">
        <x:v>480</x:v>
      </x:c>
      <x:c r="D64" s="28" t="s">
        <x:v>80</x:v>
      </x:c>
      <x:c r="E64" s="28" t="s">
        <x:v>43</x:v>
      </x:c>
      <x:c r="F64" s="28" t="s">
        <x:v>481</x:v>
      </x:c>
      <x:c r="G64" s="28" t="s">
        <x:v>482</x:v>
      </x:c>
      <x:c r="H64" s="28" t="s">
        <x:v>483</x:v>
      </x:c>
      <x:c r="I64" s="28" t="s">
        <x:v>484</x:v>
      </x:c>
      <x:c r="J64" s="28" t="s">
        <x:v>485</x:v>
      </x:c>
      <x:c r="K64" s="28" t="s">
        <x:v>25</x:v>
      </x:c>
      <x:c r="L64" s="28" t="s">
        <x:v>25</x:v>
      </x:c>
      <x:c r="M64" s="28" t="s">
        <x:v>26</x:v>
      </x:c>
      <x:c r="N64" s="28" t="s">
        <x:v>49</x:v>
      </x:c>
      <x:c r="O64" s="28" t="s">
        <x:v>28</x:v>
      </x:c>
      <x:c r="P64" s="29" t="s">
        <x:v>29</x:v>
      </x:c>
    </x:row>
    <x:row r="65">
      <x:c r="A65" s="27">
        <x:v>1065</x:v>
      </x:c>
      <x:c r="B65" s="28" t="s">
        <x:v>486</x:v>
      </x:c>
      <x:c r="C65" s="28" t="s">
        <x:v>487</x:v>
      </x:c>
      <x:c r="D65" s="28" t="s">
        <x:v>88</x:v>
      </x:c>
      <x:c r="E65" s="28" t="s">
        <x:v>53</x:v>
      </x:c>
      <x:c r="F65" s="28" t="s">
        <x:v>488</x:v>
      </x:c>
      <x:c r="G65" s="28" t="s">
        <x:v>489</x:v>
      </x:c>
      <x:c r="H65" s="28" t="s">
        <x:v>490</x:v>
      </x:c>
      <x:c r="I65" s="28" t="s">
        <x:v>491</x:v>
      </x:c>
      <x:c r="J65" s="28" t="s">
        <x:v>492</x:v>
      </x:c>
      <x:c r="K65" s="28" t="s">
        <x:v>25</x:v>
      </x:c>
      <x:c r="L65" s="28" t="s">
        <x:v>25</x:v>
      </x:c>
      <x:c r="M65" s="28" t="s">
        <x:v>26</x:v>
      </x:c>
      <x:c r="N65" s="28" t="s">
        <x:v>59</x:v>
      </x:c>
      <x:c r="O65" s="28" t="s">
        <x:v>28</x:v>
      </x:c>
      <x:c r="P65" s="29" t="s">
        <x:v>29</x:v>
      </x:c>
    </x:row>
    <x:row r="66">
      <x:c r="A66" s="27">
        <x:v>1066</x:v>
      </x:c>
      <x:c r="B66" s="28" t="s">
        <x:v>493</x:v>
      </x:c>
      <x:c r="C66" s="28" t="s">
        <x:v>494</x:v>
      </x:c>
      <x:c r="D66" s="28" t="s">
        <x:v>96</x:v>
      </x:c>
      <x:c r="E66" s="28" t="s">
        <x:v>63</x:v>
      </x:c>
      <x:c r="F66" s="28" t="s">
        <x:v>495</x:v>
      </x:c>
      <x:c r="G66" s="28" t="s">
        <x:v>496</x:v>
      </x:c>
      <x:c r="H66" s="28" t="s">
        <x:v>497</x:v>
      </x:c>
      <x:c r="I66" s="28" t="s">
        <x:v>498</x:v>
      </x:c>
      <x:c r="J66" s="28" t="s">
        <x:v>499</x:v>
      </x:c>
      <x:c r="K66" s="28" t="s">
        <x:v>25</x:v>
      </x:c>
      <x:c r="L66" s="28" t="s">
        <x:v>25</x:v>
      </x:c>
      <x:c r="M66" s="28" t="s">
        <x:v>26</x:v>
      </x:c>
      <x:c r="N66" s="28" t="s">
        <x:v>27</x:v>
      </x:c>
      <x:c r="O66" s="28" t="s">
        <x:v>28</x:v>
      </x:c>
      <x:c r="P66" s="29" t="s">
        <x:v>29</x:v>
      </x:c>
    </x:row>
    <x:row r="67">
      <x:c r="A67" s="27">
        <x:v>1067</x:v>
      </x:c>
      <x:c r="B67" s="28" t="s">
        <x:v>500</x:v>
      </x:c>
      <x:c r="C67" s="28" t="s">
        <x:v>501</x:v>
      </x:c>
      <x:c r="D67" s="28" t="s">
        <x:v>104</x:v>
      </x:c>
      <x:c r="E67" s="28" t="s">
        <x:v>72</x:v>
      </x:c>
      <x:c r="F67" s="28" t="s">
        <x:v>502</x:v>
      </x:c>
      <x:c r="G67" s="28" t="s">
        <x:v>503</x:v>
      </x:c>
      <x:c r="H67" s="28" t="s">
        <x:v>504</x:v>
      </x:c>
      <x:c r="I67" s="28" t="s">
        <x:v>505</x:v>
      </x:c>
      <x:c r="J67" s="28" t="s">
        <x:v>506</x:v>
      </x:c>
      <x:c r="K67" s="28" t="s">
        <x:v>25</x:v>
      </x:c>
      <x:c r="L67" s="28" t="s">
        <x:v>25</x:v>
      </x:c>
      <x:c r="M67" s="28" t="s">
        <x:v>26</x:v>
      </x:c>
      <x:c r="N67" s="28" t="s">
        <x:v>39</x:v>
      </x:c>
      <x:c r="O67" s="28" t="s">
        <x:v>28</x:v>
      </x:c>
      <x:c r="P67" s="29" t="s">
        <x:v>29</x:v>
      </x:c>
    </x:row>
    <x:row r="68">
      <x:c r="A68" s="27">
        <x:v>1068</x:v>
      </x:c>
      <x:c r="B68" s="28" t="s">
        <x:v>507</x:v>
      </x:c>
      <x:c r="C68" s="28" t="s">
        <x:v>508</x:v>
      </x:c>
      <x:c r="D68" s="28" t="s">
        <x:v>112</x:v>
      </x:c>
      <x:c r="E68" s="28" t="s">
        <x:v>19</x:v>
      </x:c>
      <x:c r="F68" s="28" t="s">
        <x:v>509</x:v>
      </x:c>
      <x:c r="G68" s="28" t="s">
        <x:v>510</x:v>
      </x:c>
      <x:c r="H68" s="28" t="s">
        <x:v>511</x:v>
      </x:c>
      <x:c r="I68" s="28" t="s">
        <x:v>512</x:v>
      </x:c>
      <x:c r="J68" s="28" t="s">
        <x:v>513</x:v>
      </x:c>
      <x:c r="K68" s="28" t="s">
        <x:v>25</x:v>
      </x:c>
      <x:c r="L68" s="28" t="s">
        <x:v>25</x:v>
      </x:c>
      <x:c r="M68" s="28" t="s">
        <x:v>26</x:v>
      </x:c>
      <x:c r="N68" s="28" t="s">
        <x:v>49</x:v>
      </x:c>
      <x:c r="O68" s="28" t="s">
        <x:v>28</x:v>
      </x:c>
      <x:c r="P68" s="29" t="s">
        <x:v>29</x:v>
      </x:c>
    </x:row>
    <x:row r="69">
      <x:c r="A69" s="27">
        <x:v>1069</x:v>
      </x:c>
      <x:c r="B69" s="28" t="s">
        <x:v>514</x:v>
      </x:c>
      <x:c r="C69" s="28" t="s">
        <x:v>515</x:v>
      </x:c>
      <x:c r="D69" s="28" t="s">
        <x:v>120</x:v>
      </x:c>
      <x:c r="E69" s="28" t="s">
        <x:v>33</x:v>
      </x:c>
      <x:c r="F69" s="28" t="s">
        <x:v>516</x:v>
      </x:c>
      <x:c r="G69" s="28" t="s">
        <x:v>517</x:v>
      </x:c>
      <x:c r="H69" s="28" t="s">
        <x:v>518</x:v>
      </x:c>
      <x:c r="I69" s="28" t="s">
        <x:v>519</x:v>
      </x:c>
      <x:c r="J69" s="28" t="s">
        <x:v>520</x:v>
      </x:c>
      <x:c r="K69" s="28" t="s">
        <x:v>25</x:v>
      </x:c>
      <x:c r="L69" s="28" t="s">
        <x:v>25</x:v>
      </x:c>
      <x:c r="M69" s="28" t="s">
        <x:v>26</x:v>
      </x:c>
      <x:c r="N69" s="28" t="s">
        <x:v>59</x:v>
      </x:c>
      <x:c r="O69" s="28" t="s">
        <x:v>28</x:v>
      </x:c>
      <x:c r="P69" s="29" t="s">
        <x:v>29</x:v>
      </x:c>
    </x:row>
    <x:row r="70">
      <x:c r="A70" s="27">
        <x:v>1070</x:v>
      </x:c>
      <x:c r="B70" s="28" t="s">
        <x:v>521</x:v>
      </x:c>
      <x:c r="C70" s="28" t="s">
        <x:v>522</x:v>
      </x:c>
      <x:c r="D70" s="28" t="s">
        <x:v>128</x:v>
      </x:c>
      <x:c r="E70" s="28" t="s">
        <x:v>43</x:v>
      </x:c>
      <x:c r="F70" s="28" t="s">
        <x:v>523</x:v>
      </x:c>
      <x:c r="G70" s="28" t="s">
        <x:v>524</x:v>
      </x:c>
      <x:c r="H70" s="28" t="s">
        <x:v>525</x:v>
      </x:c>
      <x:c r="I70" s="28" t="s">
        <x:v>526</x:v>
      </x:c>
      <x:c r="J70" s="28" t="s">
        <x:v>527</x:v>
      </x:c>
      <x:c r="K70" s="28" t="s">
        <x:v>25</x:v>
      </x:c>
      <x:c r="L70" s="28" t="s">
        <x:v>25</x:v>
      </x:c>
      <x:c r="M70" s="28" t="s">
        <x:v>26</x:v>
      </x:c>
      <x:c r="N70" s="28" t="s">
        <x:v>27</x:v>
      </x:c>
      <x:c r="O70" s="28" t="s">
        <x:v>28</x:v>
      </x:c>
      <x:c r="P70" s="29" t="s">
        <x:v>29</x:v>
      </x:c>
    </x:row>
    <x:row r="71">
      <x:c r="A71" s="27">
        <x:v>1071</x:v>
      </x:c>
      <x:c r="B71" s="28" t="s">
        <x:v>528</x:v>
      </x:c>
      <x:c r="C71" s="28" t="s">
        <x:v>529</x:v>
      </x:c>
      <x:c r="D71" s="28" t="s">
        <x:v>136</x:v>
      </x:c>
      <x:c r="E71" s="28" t="s">
        <x:v>53</x:v>
      </x:c>
      <x:c r="F71" s="28" t="s">
        <x:v>530</x:v>
      </x:c>
      <x:c r="G71" s="28" t="s">
        <x:v>531</x:v>
      </x:c>
      <x:c r="H71" s="28" t="s">
        <x:v>532</x:v>
      </x:c>
      <x:c r="I71" s="28" t="s">
        <x:v>533</x:v>
      </x:c>
      <x:c r="J71" s="28" t="s">
        <x:v>534</x:v>
      </x:c>
      <x:c r="K71" s="28" t="s">
        <x:v>25</x:v>
      </x:c>
      <x:c r="L71" s="28" t="s">
        <x:v>25</x:v>
      </x:c>
      <x:c r="M71" s="28" t="s">
        <x:v>26</x:v>
      </x:c>
      <x:c r="N71" s="28" t="s">
        <x:v>39</x:v>
      </x:c>
      <x:c r="O71" s="28" t="s">
        <x:v>28</x:v>
      </x:c>
      <x:c r="P71" s="29" t="s">
        <x:v>29</x:v>
      </x:c>
    </x:row>
    <x:row r="72">
      <x:c r="A72" s="27">
        <x:v>1072</x:v>
      </x:c>
      <x:c r="B72" s="28" t="s">
        <x:v>535</x:v>
      </x:c>
      <x:c r="C72" s="28" t="s">
        <x:v>536</x:v>
      </x:c>
      <x:c r="D72" s="28" t="s">
        <x:v>18</x:v>
      </x:c>
      <x:c r="E72" s="28" t="s">
        <x:v>63</x:v>
      </x:c>
      <x:c r="F72" s="28" t="s">
        <x:v>537</x:v>
      </x:c>
      <x:c r="G72" s="28" t="s">
        <x:v>538</x:v>
      </x:c>
      <x:c r="H72" s="28" t="s">
        <x:v>539</x:v>
      </x:c>
      <x:c r="I72" s="28" t="s">
        <x:v>540</x:v>
      </x:c>
      <x:c r="J72" s="28" t="s">
        <x:v>541</x:v>
      </x:c>
      <x:c r="K72" s="28" t="s">
        <x:v>25</x:v>
      </x:c>
      <x:c r="L72" s="28" t="s">
        <x:v>25</x:v>
      </x:c>
      <x:c r="M72" s="28" t="s">
        <x:v>26</x:v>
      </x:c>
      <x:c r="N72" s="28" t="s">
        <x:v>49</x:v>
      </x:c>
      <x:c r="O72" s="28" t="s">
        <x:v>28</x:v>
      </x:c>
      <x:c r="P72" s="29" t="s">
        <x:v>29</x:v>
      </x:c>
    </x:row>
    <x:row r="73">
      <x:c r="A73" s="27">
        <x:v>1073</x:v>
      </x:c>
      <x:c r="B73" s="28" t="s">
        <x:v>542</x:v>
      </x:c>
      <x:c r="C73" s="28" t="s">
        <x:v>543</x:v>
      </x:c>
      <x:c r="D73" s="28" t="s">
        <x:v>32</x:v>
      </x:c>
      <x:c r="E73" s="28" t="s">
        <x:v>72</x:v>
      </x:c>
      <x:c r="F73" s="28" t="s">
        <x:v>544</x:v>
      </x:c>
      <x:c r="G73" s="28" t="s">
        <x:v>545</x:v>
      </x:c>
      <x:c r="H73" s="28" t="s">
        <x:v>546</x:v>
      </x:c>
      <x:c r="I73" s="28" t="s">
        <x:v>547</x:v>
      </x:c>
      <x:c r="J73" s="28" t="s">
        <x:v>548</x:v>
      </x:c>
      <x:c r="K73" s="28" t="s">
        <x:v>25</x:v>
      </x:c>
      <x:c r="L73" s="28" t="s">
        <x:v>25</x:v>
      </x:c>
      <x:c r="M73" s="28" t="s">
        <x:v>26</x:v>
      </x:c>
      <x:c r="N73" s="28" t="s">
        <x:v>59</x:v>
      </x:c>
      <x:c r="O73" s="28" t="s">
        <x:v>28</x:v>
      </x:c>
      <x:c r="P73" s="29" t="s">
        <x:v>29</x:v>
      </x:c>
    </x:row>
    <x:row r="74">
      <x:c r="A74" s="27">
        <x:v>1074</x:v>
      </x:c>
      <x:c r="B74" s="28" t="s">
        <x:v>549</x:v>
      </x:c>
      <x:c r="C74" s="28" t="s">
        <x:v>550</x:v>
      </x:c>
      <x:c r="D74" s="28" t="s">
        <x:v>42</x:v>
      </x:c>
      <x:c r="E74" s="28" t="s">
        <x:v>19</x:v>
      </x:c>
      <x:c r="F74" s="28" t="s">
        <x:v>551</x:v>
      </x:c>
      <x:c r="G74" s="28" t="s">
        <x:v>552</x:v>
      </x:c>
      <x:c r="H74" s="28" t="s">
        <x:v>553</x:v>
      </x:c>
      <x:c r="I74" s="28" t="s">
        <x:v>554</x:v>
      </x:c>
      <x:c r="J74" s="28" t="s">
        <x:v>555</x:v>
      </x:c>
      <x:c r="K74" s="28" t="s">
        <x:v>239</x:v>
      </x:c>
      <x:c r="L74" s="28" t="s">
        <x:v>25</x:v>
      </x:c>
      <x:c r="M74" s="28" t="s">
        <x:v>240</x:v>
      </x:c>
      <x:c r="N74" s="28" t="s">
        <x:v>27</x:v>
      </x:c>
      <x:c r="O74" s="28" t="s">
        <x:v>241</x:v>
      </x:c>
      <x:c r="P74" s="29" t="s">
        <x:v>241</x:v>
      </x:c>
    </x:row>
    <x:row r="75">
      <x:c r="A75" s="27">
        <x:v>1075</x:v>
      </x:c>
      <x:c r="B75" s="28" t="s">
        <x:v>556</x:v>
      </x:c>
      <x:c r="C75" s="28" t="s">
        <x:v>557</x:v>
      </x:c>
      <x:c r="D75" s="28" t="s">
        <x:v>52</x:v>
      </x:c>
      <x:c r="E75" s="28" t="s">
        <x:v>33</x:v>
      </x:c>
      <x:c r="F75" s="28" t="s">
        <x:v>558</x:v>
      </x:c>
      <x:c r="G75" s="28" t="s">
        <x:v>559</x:v>
      </x:c>
      <x:c r="H75" s="28" t="s">
        <x:v>560</x:v>
      </x:c>
      <x:c r="I75" s="28" t="s">
        <x:v>561</x:v>
      </x:c>
      <x:c r="J75" s="28" t="s">
        <x:v>562</x:v>
      </x:c>
      <x:c r="K75" s="28" t="s">
        <x:v>25</x:v>
      </x:c>
      <x:c r="L75" s="28" t="s">
        <x:v>25</x:v>
      </x:c>
      <x:c r="M75" s="28" t="s">
        <x:v>26</x:v>
      </x:c>
      <x:c r="N75" s="28" t="s">
        <x:v>39</x:v>
      </x:c>
      <x:c r="O75" s="28" t="s">
        <x:v>28</x:v>
      </x:c>
      <x:c r="P75" s="29" t="s">
        <x:v>29</x:v>
      </x:c>
    </x:row>
    <x:row r="76">
      <x:c r="A76" s="27">
        <x:v>1076</x:v>
      </x:c>
      <x:c r="B76" s="28" t="s">
        <x:v>563</x:v>
      </x:c>
      <x:c r="C76" s="28" t="s">
        <x:v>564</x:v>
      </x:c>
      <x:c r="D76" s="28" t="s">
        <x:v>62</x:v>
      </x:c>
      <x:c r="E76" s="28" t="s">
        <x:v>43</x:v>
      </x:c>
      <x:c r="F76" s="28" t="s">
        <x:v>565</x:v>
      </x:c>
      <x:c r="G76" s="28" t="s">
        <x:v>566</x:v>
      </x:c>
      <x:c r="H76" s="28" t="s">
        <x:v>567</x:v>
      </x:c>
      <x:c r="I76" s="28" t="s">
        <x:v>568</x:v>
      </x:c>
      <x:c r="J76" s="28" t="s">
        <x:v>569</x:v>
      </x:c>
      <x:c r="K76" s="28" t="s">
        <x:v>25</x:v>
      </x:c>
      <x:c r="L76" s="28" t="s">
        <x:v>25</x:v>
      </x:c>
      <x:c r="M76" s="28" t="s">
        <x:v>26</x:v>
      </x:c>
      <x:c r="N76" s="28" t="s">
        <x:v>49</x:v>
      </x:c>
      <x:c r="O76" s="28" t="s">
        <x:v>28</x:v>
      </x:c>
      <x:c r="P76" s="29" t="s">
        <x:v>29</x:v>
      </x:c>
    </x:row>
    <x:row r="77">
      <x:c r="A77" s="27">
        <x:v>1077</x:v>
      </x:c>
      <x:c r="B77" s="28" t="s">
        <x:v>570</x:v>
      </x:c>
      <x:c r="C77" s="28" t="s">
        <x:v>571</x:v>
      </x:c>
      <x:c r="D77" s="28" t="s">
        <x:v>71</x:v>
      </x:c>
      <x:c r="E77" s="28" t="s">
        <x:v>53</x:v>
      </x:c>
      <x:c r="F77" s="28" t="s">
        <x:v>572</x:v>
      </x:c>
      <x:c r="G77" s="28" t="s">
        <x:v>573</x:v>
      </x:c>
      <x:c r="H77" s="28" t="s">
        <x:v>574</x:v>
      </x:c>
      <x:c r="I77" s="28" t="s">
        <x:v>575</x:v>
      </x:c>
      <x:c r="J77" s="28" t="s">
        <x:v>576</x:v>
      </x:c>
      <x:c r="K77" s="28" t="s">
        <x:v>25</x:v>
      </x:c>
      <x:c r="L77" s="28" t="s">
        <x:v>25</x:v>
      </x:c>
      <x:c r="M77" s="28" t="s">
        <x:v>26</x:v>
      </x:c>
      <x:c r="N77" s="28" t="s">
        <x:v>59</x:v>
      </x:c>
      <x:c r="O77" s="28" t="s">
        <x:v>28</x:v>
      </x:c>
      <x:c r="P77" s="29" t="s">
        <x:v>29</x:v>
      </x:c>
    </x:row>
    <x:row r="78">
      <x:c r="A78" s="27">
        <x:v>1078</x:v>
      </x:c>
      <x:c r="B78" s="28" t="s">
        <x:v>577</x:v>
      </x:c>
      <x:c r="C78" s="28" t="s">
        <x:v>578</x:v>
      </x:c>
      <x:c r="D78" s="28" t="s">
        <x:v>80</x:v>
      </x:c>
      <x:c r="E78" s="28" t="s">
        <x:v>63</x:v>
      </x:c>
      <x:c r="F78" s="28" t="s">
        <x:v>579</x:v>
      </x:c>
      <x:c r="G78" s="28" t="s">
        <x:v>580</x:v>
      </x:c>
      <x:c r="H78" s="28" t="s">
        <x:v>581</x:v>
      </x:c>
      <x:c r="I78" s="28" t="s">
        <x:v>582</x:v>
      </x:c>
      <x:c r="J78" s="28" t="s">
        <x:v>583</x:v>
      </x:c>
      <x:c r="K78" s="28" t="s">
        <x:v>25</x:v>
      </x:c>
      <x:c r="L78" s="28" t="s">
        <x:v>25</x:v>
      </x:c>
      <x:c r="M78" s="28" t="s">
        <x:v>26</x:v>
      </x:c>
      <x:c r="N78" s="28" t="s">
        <x:v>27</x:v>
      </x:c>
      <x:c r="O78" s="28" t="s">
        <x:v>28</x:v>
      </x:c>
      <x:c r="P78" s="29" t="s">
        <x:v>29</x:v>
      </x:c>
    </x:row>
    <x:row r="79">
      <x:c r="A79" s="27">
        <x:v>1079</x:v>
      </x:c>
      <x:c r="B79" s="28" t="s">
        <x:v>584</x:v>
      </x:c>
      <x:c r="C79" s="28" t="s">
        <x:v>585</x:v>
      </x:c>
      <x:c r="D79" s="28" t="s">
        <x:v>88</x:v>
      </x:c>
      <x:c r="E79" s="28" t="s">
        <x:v>72</x:v>
      </x:c>
      <x:c r="F79" s="28" t="s">
        <x:v>586</x:v>
      </x:c>
      <x:c r="G79" s="28" t="s">
        <x:v>587</x:v>
      </x:c>
      <x:c r="H79" s="28" t="s">
        <x:v>588</x:v>
      </x:c>
      <x:c r="I79" s="28" t="s">
        <x:v>589</x:v>
      </x:c>
      <x:c r="J79" s="28" t="s">
        <x:v>590</x:v>
      </x:c>
      <x:c r="K79" s="28" t="s">
        <x:v>25</x:v>
      </x:c>
      <x:c r="L79" s="28" t="s">
        <x:v>25</x:v>
      </x:c>
      <x:c r="M79" s="28" t="s">
        <x:v>26</x:v>
      </x:c>
      <x:c r="N79" s="28" t="s">
        <x:v>39</x:v>
      </x:c>
      <x:c r="O79" s="28" t="s">
        <x:v>28</x:v>
      </x:c>
      <x:c r="P79" s="29" t="s">
        <x:v>29</x:v>
      </x:c>
    </x:row>
    <x:row r="80">
      <x:c r="A80" s="27">
        <x:v>1080</x:v>
      </x:c>
      <x:c r="B80" s="28" t="s">
        <x:v>591</x:v>
      </x:c>
      <x:c r="C80" s="28" t="s">
        <x:v>592</x:v>
      </x:c>
      <x:c r="D80" s="28" t="s">
        <x:v>96</x:v>
      </x:c>
      <x:c r="E80" s="28" t="s">
        <x:v>19</x:v>
      </x:c>
      <x:c r="F80" s="28" t="s">
        <x:v>593</x:v>
      </x:c>
      <x:c r="G80" s="28" t="s">
        <x:v>594</x:v>
      </x:c>
      <x:c r="H80" s="28" t="s">
        <x:v>595</x:v>
      </x:c>
      <x:c r="I80" s="28" t="s">
        <x:v>596</x:v>
      </x:c>
      <x:c r="J80" s="28" t="s">
        <x:v>597</x:v>
      </x:c>
      <x:c r="K80" s="28" t="s">
        <x:v>25</x:v>
      </x:c>
      <x:c r="L80" s="28" t="s">
        <x:v>25</x:v>
      </x:c>
      <x:c r="M80" s="28" t="s">
        <x:v>26</x:v>
      </x:c>
      <x:c r="N80" s="28" t="s">
        <x:v>49</x:v>
      </x:c>
      <x:c r="O80" s="28" t="s">
        <x:v>28</x:v>
      </x:c>
      <x:c r="P80" s="29" t="s">
        <x:v>29</x:v>
      </x:c>
    </x:row>
    <x:row r="81">
      <x:c r="A81" s="27">
        <x:v>1081</x:v>
      </x:c>
      <x:c r="B81" s="28" t="s">
        <x:v>598</x:v>
      </x:c>
      <x:c r="C81" s="28" t="s">
        <x:v>599</x:v>
      </x:c>
      <x:c r="D81" s="28" t="s">
        <x:v>104</x:v>
      </x:c>
      <x:c r="E81" s="28" t="s">
        <x:v>33</x:v>
      </x:c>
      <x:c r="F81" s="28" t="s">
        <x:v>600</x:v>
      </x:c>
      <x:c r="G81" s="28" t="s">
        <x:v>601</x:v>
      </x:c>
      <x:c r="H81" s="28" t="s">
        <x:v>602</x:v>
      </x:c>
      <x:c r="I81" s="28" t="s">
        <x:v>603</x:v>
      </x:c>
      <x:c r="J81" s="28" t="s">
        <x:v>604</x:v>
      </x:c>
      <x:c r="K81" s="28" t="s">
        <x:v>25</x:v>
      </x:c>
      <x:c r="L81" s="28" t="s">
        <x:v>25</x:v>
      </x:c>
      <x:c r="M81" s="28" t="s">
        <x:v>26</x:v>
      </x:c>
      <x:c r="N81" s="28" t="s">
        <x:v>59</x:v>
      </x:c>
      <x:c r="O81" s="28" t="s">
        <x:v>28</x:v>
      </x:c>
      <x:c r="P81" s="29" t="s">
        <x:v>29</x:v>
      </x:c>
    </x:row>
    <x:row r="82">
      <x:c r="A82" s="27">
        <x:v>1082</x:v>
      </x:c>
      <x:c r="B82" s="28" t="s">
        <x:v>605</x:v>
      </x:c>
      <x:c r="C82" s="28" t="s">
        <x:v>606</x:v>
      </x:c>
      <x:c r="D82" s="28" t="s">
        <x:v>112</x:v>
      </x:c>
      <x:c r="E82" s="28" t="s">
        <x:v>43</x:v>
      </x:c>
      <x:c r="F82" s="28" t="s">
        <x:v>607</x:v>
      </x:c>
      <x:c r="G82" s="28" t="s">
        <x:v>608</x:v>
      </x:c>
      <x:c r="H82" s="28" t="s">
        <x:v>609</x:v>
      </x:c>
      <x:c r="I82" s="28" t="s">
        <x:v>610</x:v>
      </x:c>
      <x:c r="J82" s="28" t="s">
        <x:v>611</x:v>
      </x:c>
      <x:c r="K82" s="28" t="s">
        <x:v>25</x:v>
      </x:c>
      <x:c r="L82" s="28" t="s">
        <x:v>25</x:v>
      </x:c>
      <x:c r="M82" s="28" t="s">
        <x:v>26</x:v>
      </x:c>
      <x:c r="N82" s="28" t="s">
        <x:v>27</x:v>
      </x:c>
      <x:c r="O82" s="28" t="s">
        <x:v>28</x:v>
      </x:c>
      <x:c r="P82" s="29" t="s">
        <x:v>29</x:v>
      </x:c>
    </x:row>
    <x:row r="83">
      <x:c r="A83" s="27">
        <x:v>1083</x:v>
      </x:c>
      <x:c r="B83" s="28" t="s">
        <x:v>612</x:v>
      </x:c>
      <x:c r="C83" s="28" t="s">
        <x:v>613</x:v>
      </x:c>
      <x:c r="D83" s="28" t="s">
        <x:v>120</x:v>
      </x:c>
      <x:c r="E83" s="28" t="s">
        <x:v>53</x:v>
      </x:c>
      <x:c r="F83" s="28" t="s">
        <x:v>614</x:v>
      </x:c>
      <x:c r="G83" s="28" t="s">
        <x:v>615</x:v>
      </x:c>
      <x:c r="H83" s="28" t="s">
        <x:v>616</x:v>
      </x:c>
      <x:c r="I83" s="28" t="s">
        <x:v>617</x:v>
      </x:c>
      <x:c r="J83" s="28" t="s">
        <x:v>618</x:v>
      </x:c>
      <x:c r="K83" s="28" t="s">
        <x:v>25</x:v>
      </x:c>
      <x:c r="L83" s="28" t="s">
        <x:v>25</x:v>
      </x:c>
      <x:c r="M83" s="28" t="s">
        <x:v>26</x:v>
      </x:c>
      <x:c r="N83" s="28" t="s">
        <x:v>39</x:v>
      </x:c>
      <x:c r="O83" s="28" t="s">
        <x:v>28</x:v>
      </x:c>
      <x:c r="P83" s="29" t="s">
        <x:v>29</x:v>
      </x:c>
    </x:row>
    <x:row r="84">
      <x:c r="A84" s="27">
        <x:v>1084</x:v>
      </x:c>
      <x:c r="B84" s="28" t="s">
        <x:v>619</x:v>
      </x:c>
      <x:c r="C84" s="28" t="s">
        <x:v>620</x:v>
      </x:c>
      <x:c r="D84" s="28" t="s">
        <x:v>128</x:v>
      </x:c>
      <x:c r="E84" s="28" t="s">
        <x:v>63</x:v>
      </x:c>
      <x:c r="F84" s="28" t="s">
        <x:v>621</x:v>
      </x:c>
      <x:c r="G84" s="28" t="s">
        <x:v>622</x:v>
      </x:c>
      <x:c r="H84" s="28" t="s">
        <x:v>623</x:v>
      </x:c>
      <x:c r="I84" s="28" t="s">
        <x:v>624</x:v>
      </x:c>
      <x:c r="J84" s="28" t="s">
        <x:v>625</x:v>
      </x:c>
      <x:c r="K84" s="28" t="s">
        <x:v>25</x:v>
      </x:c>
      <x:c r="L84" s="28" t="s">
        <x:v>25</x:v>
      </x:c>
      <x:c r="M84" s="28" t="s">
        <x:v>26</x:v>
      </x:c>
      <x:c r="N84" s="28" t="s">
        <x:v>49</x:v>
      </x:c>
      <x:c r="O84" s="28" t="s">
        <x:v>28</x:v>
      </x:c>
      <x:c r="P84" s="29" t="s">
        <x:v>29</x:v>
      </x:c>
    </x:row>
    <x:row r="85">
      <x:c r="A85" s="27">
        <x:v>1085</x:v>
      </x:c>
      <x:c r="B85" s="28" t="s">
        <x:v>626</x:v>
      </x:c>
      <x:c r="C85" s="28" t="s">
        <x:v>627</x:v>
      </x:c>
      <x:c r="D85" s="28" t="s">
        <x:v>136</x:v>
      </x:c>
      <x:c r="E85" s="28" t="s">
        <x:v>72</x:v>
      </x:c>
      <x:c r="F85" s="28" t="s">
        <x:v>628</x:v>
      </x:c>
      <x:c r="G85" s="28" t="s">
        <x:v>629</x:v>
      </x:c>
      <x:c r="H85" s="28" t="s">
        <x:v>630</x:v>
      </x:c>
      <x:c r="I85" s="28" t="s">
        <x:v>631</x:v>
      </x:c>
      <x:c r="J85" s="28" t="s">
        <x:v>632</x:v>
      </x:c>
      <x:c r="K85" s="28" t="s">
        <x:v>25</x:v>
      </x:c>
      <x:c r="L85" s="28" t="s">
        <x:v>25</x:v>
      </x:c>
      <x:c r="M85" s="28" t="s">
        <x:v>26</x:v>
      </x:c>
      <x:c r="N85" s="28" t="s">
        <x:v>59</x:v>
      </x:c>
      <x:c r="O85" s="28" t="s">
        <x:v>28</x:v>
      </x:c>
      <x:c r="P85" s="29" t="s">
        <x:v>29</x:v>
      </x:c>
    </x:row>
    <x:row r="86">
      <x:c r="A86" s="27">
        <x:v>1086</x:v>
      </x:c>
      <x:c r="B86" s="28" t="s">
        <x:v>633</x:v>
      </x:c>
      <x:c r="C86" s="28" t="s">
        <x:v>634</x:v>
      </x:c>
      <x:c r="D86" s="28" t="s">
        <x:v>18</x:v>
      </x:c>
      <x:c r="E86" s="28" t="s">
        <x:v>19</x:v>
      </x:c>
      <x:c r="F86" s="28" t="s">
        <x:v>635</x:v>
      </x:c>
      <x:c r="G86" s="28" t="s">
        <x:v>636</x:v>
      </x:c>
      <x:c r="H86" s="28" t="s">
        <x:v>637</x:v>
      </x:c>
      <x:c r="I86" s="28" t="s">
        <x:v>638</x:v>
      </x:c>
      <x:c r="J86" s="28" t="s">
        <x:v>639</x:v>
      </x:c>
      <x:c r="K86" s="28" t="s">
        <x:v>25</x:v>
      </x:c>
      <x:c r="L86" s="28" t="s">
        <x:v>25</x:v>
      </x:c>
      <x:c r="M86" s="28" t="s">
        <x:v>26</x:v>
      </x:c>
      <x:c r="N86" s="28" t="s">
        <x:v>27</x:v>
      </x:c>
      <x:c r="O86" s="28" t="s">
        <x:v>28</x:v>
      </x:c>
      <x:c r="P86" s="29" t="s">
        <x:v>29</x:v>
      </x:c>
    </x:row>
    <x:row r="87">
      <x:c r="A87" s="27">
        <x:v>1087</x:v>
      </x:c>
      <x:c r="B87" s="28" t="s">
        <x:v>640</x:v>
      </x:c>
      <x:c r="C87" s="28" t="s">
        <x:v>641</x:v>
      </x:c>
      <x:c r="D87" s="28" t="s">
        <x:v>32</x:v>
      </x:c>
      <x:c r="E87" s="28" t="s">
        <x:v>33</x:v>
      </x:c>
      <x:c r="F87" s="28"/>
      <x:c r="G87" s="28" t="s">
        <x:v>642</x:v>
      </x:c>
      <x:c r="H87" s="28" t="s">
        <x:v>643</x:v>
      </x:c>
      <x:c r="I87" s="28" t="s">
        <x:v>644</x:v>
      </x:c>
      <x:c r="J87" s="28" t="s">
        <x:v>645</x:v>
      </x:c>
      <x:c r="K87" s="28" t="s">
        <x:v>25</x:v>
      </x:c>
      <x:c r="L87" s="28" t="s">
        <x:v>239</x:v>
      </x:c>
      <x:c r="M87" s="28" t="s">
        <x:v>240</x:v>
      </x:c>
      <x:c r="N87" s="28" t="s">
        <x:v>39</x:v>
      </x:c>
      <x:c r="O87" s="28" t="s">
        <x:v>241</x:v>
      </x:c>
      <x:c r="P87" s="29" t="s">
        <x:v>241</x:v>
      </x:c>
    </x:row>
    <x:row r="88">
      <x:c r="A88" s="27">
        <x:v>1088</x:v>
      </x:c>
      <x:c r="B88" s="28" t="s">
        <x:v>646</x:v>
      </x:c>
      <x:c r="C88" s="28" t="s">
        <x:v>647</x:v>
      </x:c>
      <x:c r="D88" s="28" t="s">
        <x:v>42</x:v>
      </x:c>
      <x:c r="E88" s="28" t="s">
        <x:v>43</x:v>
      </x:c>
      <x:c r="F88" s="28" t="s">
        <x:v>648</x:v>
      </x:c>
      <x:c r="G88" s="28" t="s">
        <x:v>649</x:v>
      </x:c>
      <x:c r="H88" s="28" t="s">
        <x:v>650</x:v>
      </x:c>
      <x:c r="I88" s="28" t="s">
        <x:v>651</x:v>
      </x:c>
      <x:c r="J88" s="28" t="s">
        <x:v>652</x:v>
      </x:c>
      <x:c r="K88" s="28" t="s">
        <x:v>25</x:v>
      </x:c>
      <x:c r="L88" s="28" t="s">
        <x:v>25</x:v>
      </x:c>
      <x:c r="M88" s="28" t="s">
        <x:v>26</x:v>
      </x:c>
      <x:c r="N88" s="28" t="s">
        <x:v>49</x:v>
      </x:c>
      <x:c r="O88" s="28" t="s">
        <x:v>28</x:v>
      </x:c>
      <x:c r="P88" s="29" t="s">
        <x:v>29</x:v>
      </x:c>
    </x:row>
    <x:row r="89">
      <x:c r="A89" s="27">
        <x:v>1089</x:v>
      </x:c>
      <x:c r="B89" s="28" t="s">
        <x:v>653</x:v>
      </x:c>
      <x:c r="C89" s="28" t="s">
        <x:v>654</x:v>
      </x:c>
      <x:c r="D89" s="28" t="s">
        <x:v>52</x:v>
      </x:c>
      <x:c r="E89" s="28" t="s">
        <x:v>53</x:v>
      </x:c>
      <x:c r="F89" s="28" t="s">
        <x:v>655</x:v>
      </x:c>
      <x:c r="G89" s="28" t="s">
        <x:v>656</x:v>
      </x:c>
      <x:c r="H89" s="28" t="s">
        <x:v>657</x:v>
      </x:c>
      <x:c r="I89" s="28" t="s">
        <x:v>658</x:v>
      </x:c>
      <x:c r="J89" s="28" t="s">
        <x:v>659</x:v>
      </x:c>
      <x:c r="K89" s="28" t="s">
        <x:v>25</x:v>
      </x:c>
      <x:c r="L89" s="28" t="s">
        <x:v>25</x:v>
      </x:c>
      <x:c r="M89" s="28" t="s">
        <x:v>26</x:v>
      </x:c>
      <x:c r="N89" s="28" t="s">
        <x:v>59</x:v>
      </x:c>
      <x:c r="O89" s="28" t="s">
        <x:v>28</x:v>
      </x:c>
      <x:c r="P89" s="29" t="s">
        <x:v>29</x:v>
      </x:c>
    </x:row>
    <x:row r="90">
      <x:c r="A90" s="27">
        <x:v>1090</x:v>
      </x:c>
      <x:c r="B90" s="28" t="s">
        <x:v>660</x:v>
      </x:c>
      <x:c r="C90" s="28" t="s">
        <x:v>661</x:v>
      </x:c>
      <x:c r="D90" s="28" t="s">
        <x:v>62</x:v>
      </x:c>
      <x:c r="E90" s="28" t="s">
        <x:v>63</x:v>
      </x:c>
      <x:c r="F90" s="28" t="s">
        <x:v>662</x:v>
      </x:c>
      <x:c r="G90" s="28" t="s">
        <x:v>663</x:v>
      </x:c>
      <x:c r="H90" s="28" t="s">
        <x:v>664</x:v>
      </x:c>
      <x:c r="I90" s="28" t="s">
        <x:v>665</x:v>
      </x:c>
      <x:c r="J90" s="28" t="s">
        <x:v>666</x:v>
      </x:c>
      <x:c r="K90" s="28" t="s">
        <x:v>25</x:v>
      </x:c>
      <x:c r="L90" s="28" t="s">
        <x:v>25</x:v>
      </x:c>
      <x:c r="M90" s="28" t="s">
        <x:v>26</x:v>
      </x:c>
      <x:c r="N90" s="28" t="s">
        <x:v>27</x:v>
      </x:c>
      <x:c r="O90" s="28" t="s">
        <x:v>28</x:v>
      </x:c>
      <x:c r="P90" s="29" t="s">
        <x:v>29</x:v>
      </x:c>
    </x:row>
    <x:row r="91">
      <x:c r="A91" s="27">
        <x:v>1091</x:v>
      </x:c>
      <x:c r="B91" s="28" t="s">
        <x:v>667</x:v>
      </x:c>
      <x:c r="C91" s="28" t="s">
        <x:v>668</x:v>
      </x:c>
      <x:c r="D91" s="28" t="s">
        <x:v>71</x:v>
      </x:c>
      <x:c r="E91" s="28" t="s">
        <x:v>72</x:v>
      </x:c>
      <x:c r="F91" s="28" t="s">
        <x:v>669</x:v>
      </x:c>
      <x:c r="G91" s="28" t="s">
        <x:v>670</x:v>
      </x:c>
      <x:c r="H91" s="28" t="s">
        <x:v>671</x:v>
      </x:c>
      <x:c r="I91" s="28" t="s">
        <x:v>672</x:v>
      </x:c>
      <x:c r="J91" s="28" t="s">
        <x:v>673</x:v>
      </x:c>
      <x:c r="K91" s="28" t="s">
        <x:v>25</x:v>
      </x:c>
      <x:c r="L91" s="28" t="s">
        <x:v>25</x:v>
      </x:c>
      <x:c r="M91" s="28" t="s">
        <x:v>26</x:v>
      </x:c>
      <x:c r="N91" s="28" t="s">
        <x:v>39</x:v>
      </x:c>
      <x:c r="O91" s="28" t="s">
        <x:v>28</x:v>
      </x:c>
      <x:c r="P91" s="29" t="s">
        <x:v>29</x:v>
      </x:c>
    </x:row>
    <x:row r="92">
      <x:c r="A92" s="27">
        <x:v>1092</x:v>
      </x:c>
      <x:c r="B92" s="28" t="s">
        <x:v>674</x:v>
      </x:c>
      <x:c r="C92" s="28" t="s">
        <x:v>675</x:v>
      </x:c>
      <x:c r="D92" s="28" t="s">
        <x:v>80</x:v>
      </x:c>
      <x:c r="E92" s="28" t="s">
        <x:v>19</x:v>
      </x:c>
      <x:c r="F92" s="28" t="s">
        <x:v>676</x:v>
      </x:c>
      <x:c r="G92" s="28" t="s">
        <x:v>677</x:v>
      </x:c>
      <x:c r="H92" s="28" t="s">
        <x:v>678</x:v>
      </x:c>
      <x:c r="I92" s="28" t="s">
        <x:v>679</x:v>
      </x:c>
      <x:c r="J92" s="28" t="s">
        <x:v>680</x:v>
      </x:c>
      <x:c r="K92" s="28" t="s">
        <x:v>25</x:v>
      </x:c>
      <x:c r="L92" s="28" t="s">
        <x:v>25</x:v>
      </x:c>
      <x:c r="M92" s="28" t="s">
        <x:v>26</x:v>
      </x:c>
      <x:c r="N92" s="28" t="s">
        <x:v>49</x:v>
      </x:c>
      <x:c r="O92" s="28" t="s">
        <x:v>28</x:v>
      </x:c>
      <x:c r="P92" s="29" t="s">
        <x:v>29</x:v>
      </x:c>
    </x:row>
    <x:row r="93">
      <x:c r="A93" s="27">
        <x:v>1093</x:v>
      </x:c>
      <x:c r="B93" s="28" t="s">
        <x:v>681</x:v>
      </x:c>
      <x:c r="C93" s="28" t="s">
        <x:v>682</x:v>
      </x:c>
      <x:c r="D93" s="28" t="s">
        <x:v>88</x:v>
      </x:c>
      <x:c r="E93" s="28" t="s">
        <x:v>33</x:v>
      </x:c>
      <x:c r="F93" s="28" t="s">
        <x:v>683</x:v>
      </x:c>
      <x:c r="G93" s="28" t="s">
        <x:v>684</x:v>
      </x:c>
      <x:c r="H93" s="28" t="s">
        <x:v>685</x:v>
      </x:c>
      <x:c r="I93" s="28" t="s">
        <x:v>686</x:v>
      </x:c>
      <x:c r="J93" s="28" t="s">
        <x:v>687</x:v>
      </x:c>
      <x:c r="K93" s="28" t="s">
        <x:v>25</x:v>
      </x:c>
      <x:c r="L93" s="28" t="s">
        <x:v>25</x:v>
      </x:c>
      <x:c r="M93" s="28" t="s">
        <x:v>26</x:v>
      </x:c>
      <x:c r="N93" s="28" t="s">
        <x:v>59</x:v>
      </x:c>
      <x:c r="O93" s="28" t="s">
        <x:v>28</x:v>
      </x:c>
      <x:c r="P93" s="29" t="s">
        <x:v>29</x:v>
      </x:c>
    </x:row>
    <x:row r="94">
      <x:c r="A94" s="27">
        <x:v>1094</x:v>
      </x:c>
      <x:c r="B94" s="28" t="s">
        <x:v>688</x:v>
      </x:c>
      <x:c r="C94" s="28" t="s">
        <x:v>689</x:v>
      </x:c>
      <x:c r="D94" s="28" t="s">
        <x:v>96</x:v>
      </x:c>
      <x:c r="E94" s="28" t="s">
        <x:v>43</x:v>
      </x:c>
      <x:c r="F94" s="28" t="s">
        <x:v>690</x:v>
      </x:c>
      <x:c r="G94" s="28" t="s">
        <x:v>691</x:v>
      </x:c>
      <x:c r="H94" s="28" t="s">
        <x:v>692</x:v>
      </x:c>
      <x:c r="I94" s="28" t="s">
        <x:v>693</x:v>
      </x:c>
      <x:c r="J94" s="28" t="s">
        <x:v>694</x:v>
      </x:c>
      <x:c r="K94" s="28" t="s">
        <x:v>25</x:v>
      </x:c>
      <x:c r="L94" s="28" t="s">
        <x:v>25</x:v>
      </x:c>
      <x:c r="M94" s="28" t="s">
        <x:v>26</x:v>
      </x:c>
      <x:c r="N94" s="28" t="s">
        <x:v>27</x:v>
      </x:c>
      <x:c r="O94" s="28" t="s">
        <x:v>28</x:v>
      </x:c>
      <x:c r="P94" s="29" t="s">
        <x:v>29</x:v>
      </x:c>
    </x:row>
    <x:row r="95">
      <x:c r="A95" s="27">
        <x:v>1095</x:v>
      </x:c>
      <x:c r="B95" s="28" t="s">
        <x:v>695</x:v>
      </x:c>
      <x:c r="C95" s="28" t="s">
        <x:v>696</x:v>
      </x:c>
      <x:c r="D95" s="28" t="s">
        <x:v>104</x:v>
      </x:c>
      <x:c r="E95" s="28" t="s">
        <x:v>53</x:v>
      </x:c>
      <x:c r="F95" s="28" t="s">
        <x:v>697</x:v>
      </x:c>
      <x:c r="G95" s="28" t="s">
        <x:v>698</x:v>
      </x:c>
      <x:c r="H95" s="28" t="s">
        <x:v>699</x:v>
      </x:c>
      <x:c r="I95" s="28" t="s">
        <x:v>700</x:v>
      </x:c>
      <x:c r="J95" s="28" t="s">
        <x:v>701</x:v>
      </x:c>
      <x:c r="K95" s="28" t="s">
        <x:v>25</x:v>
      </x:c>
      <x:c r="L95" s="28" t="s">
        <x:v>25</x:v>
      </x:c>
      <x:c r="M95" s="28" t="s">
        <x:v>26</x:v>
      </x:c>
      <x:c r="N95" s="28" t="s">
        <x:v>39</x:v>
      </x:c>
      <x:c r="O95" s="28" t="s">
        <x:v>28</x:v>
      </x:c>
      <x:c r="P95" s="29" t="s">
        <x:v>29</x:v>
      </x:c>
    </x:row>
    <x:row r="96">
      <x:c r="A96" s="27">
        <x:v>1096</x:v>
      </x:c>
      <x:c r="B96" s="28" t="s">
        <x:v>702</x:v>
      </x:c>
      <x:c r="C96" s="28" t="s">
        <x:v>703</x:v>
      </x:c>
      <x:c r="D96" s="28" t="s">
        <x:v>112</x:v>
      </x:c>
      <x:c r="E96" s="28" t="s">
        <x:v>63</x:v>
      </x:c>
      <x:c r="F96" s="28" t="s">
        <x:v>704</x:v>
      </x:c>
      <x:c r="G96" s="28" t="s">
        <x:v>705</x:v>
      </x:c>
      <x:c r="H96" s="28" t="s">
        <x:v>706</x:v>
      </x:c>
      <x:c r="I96" s="28" t="s">
        <x:v>707</x:v>
      </x:c>
      <x:c r="J96" s="28" t="s">
        <x:v>708</x:v>
      </x:c>
      <x:c r="K96" s="28" t="s">
        <x:v>25</x:v>
      </x:c>
      <x:c r="L96" s="28" t="s">
        <x:v>25</x:v>
      </x:c>
      <x:c r="M96" s="28" t="s">
        <x:v>26</x:v>
      </x:c>
      <x:c r="N96" s="28" t="s">
        <x:v>49</x:v>
      </x:c>
      <x:c r="O96" s="28" t="s">
        <x:v>28</x:v>
      </x:c>
      <x:c r="P96" s="29" t="s">
        <x:v>29</x:v>
      </x:c>
    </x:row>
    <x:row r="97">
      <x:c r="A97" s="27">
        <x:v>1097</x:v>
      </x:c>
      <x:c r="B97" s="28" t="s">
        <x:v>709</x:v>
      </x:c>
      <x:c r="C97" s="28" t="s">
        <x:v>710</x:v>
      </x:c>
      <x:c r="D97" s="28" t="s">
        <x:v>120</x:v>
      </x:c>
      <x:c r="E97" s="28" t="s">
        <x:v>72</x:v>
      </x:c>
      <x:c r="F97" s="28" t="s">
        <x:v>711</x:v>
      </x:c>
      <x:c r="G97" s="28" t="s">
        <x:v>712</x:v>
      </x:c>
      <x:c r="H97" s="28" t="s">
        <x:v>713</x:v>
      </x:c>
      <x:c r="I97" s="28" t="s">
        <x:v>714</x:v>
      </x:c>
      <x:c r="J97" s="28" t="s">
        <x:v>715</x:v>
      </x:c>
      <x:c r="K97" s="28" t="s">
        <x:v>25</x:v>
      </x:c>
      <x:c r="L97" s="28" t="s">
        <x:v>25</x:v>
      </x:c>
      <x:c r="M97" s="28" t="s">
        <x:v>26</x:v>
      </x:c>
      <x:c r="N97" s="28" t="s">
        <x:v>59</x:v>
      </x:c>
      <x:c r="O97" s="28" t="s">
        <x:v>28</x:v>
      </x:c>
      <x:c r="P97" s="29" t="s">
        <x:v>29</x:v>
      </x:c>
    </x:row>
    <x:row r="98">
      <x:c r="A98" s="27">
        <x:v>1098</x:v>
      </x:c>
      <x:c r="B98" s="28" t="s">
        <x:v>716</x:v>
      </x:c>
      <x:c r="C98" s="28" t="s">
        <x:v>717</x:v>
      </x:c>
      <x:c r="D98" s="28" t="s">
        <x:v>128</x:v>
      </x:c>
      <x:c r="E98" s="28" t="s">
        <x:v>19</x:v>
      </x:c>
      <x:c r="F98" s="28" t="s">
        <x:v>718</x:v>
      </x:c>
      <x:c r="G98" s="28" t="s">
        <x:v>719</x:v>
      </x:c>
      <x:c r="H98" s="28" t="s">
        <x:v>720</x:v>
      </x:c>
      <x:c r="I98" s="28" t="s">
        <x:v>721</x:v>
      </x:c>
      <x:c r="J98" s="28" t="s">
        <x:v>722</x:v>
      </x:c>
      <x:c r="K98" s="28" t="s">
        <x:v>25</x:v>
      </x:c>
      <x:c r="L98" s="28" t="s">
        <x:v>25</x:v>
      </x:c>
      <x:c r="M98" s="28" t="s">
        <x:v>26</x:v>
      </x:c>
      <x:c r="N98" s="28" t="s">
        <x:v>27</x:v>
      </x:c>
      <x:c r="O98" s="28" t="s">
        <x:v>28</x:v>
      </x:c>
      <x:c r="P98" s="29" t="s">
        <x:v>29</x:v>
      </x:c>
    </x:row>
    <x:row r="99">
      <x:c r="A99" s="27">
        <x:v>1099</x:v>
      </x:c>
      <x:c r="B99" s="28" t="s">
        <x:v>723</x:v>
      </x:c>
      <x:c r="C99" s="28" t="s">
        <x:v>724</x:v>
      </x:c>
      <x:c r="D99" s="28" t="s">
        <x:v>136</x:v>
      </x:c>
      <x:c r="E99" s="28" t="s">
        <x:v>33</x:v>
      </x:c>
      <x:c r="F99" s="28" t="s">
        <x:v>725</x:v>
      </x:c>
      <x:c r="G99" s="28" t="s">
        <x:v>726</x:v>
      </x:c>
      <x:c r="H99" s="28" t="s">
        <x:v>727</x:v>
      </x:c>
      <x:c r="I99" s="28" t="s">
        <x:v>728</x:v>
      </x:c>
      <x:c r="J99" s="28" t="s">
        <x:v>729</x:v>
      </x:c>
      <x:c r="K99" s="28" t="s">
        <x:v>25</x:v>
      </x:c>
      <x:c r="L99" s="28" t="s">
        <x:v>25</x:v>
      </x:c>
      <x:c r="M99" s="28" t="s">
        <x:v>26</x:v>
      </x:c>
      <x:c r="N99" s="28" t="s">
        <x:v>39</x:v>
      </x:c>
      <x:c r="O99" s="28" t="s">
        <x:v>28</x:v>
      </x:c>
      <x:c r="P99" s="29" t="s">
        <x:v>29</x:v>
      </x:c>
    </x:row>
    <x:row r="100">
      <x:c r="A100" s="27">
        <x:v>1100</x:v>
      </x:c>
      <x:c r="B100" s="28" t="s">
        <x:v>730</x:v>
      </x:c>
      <x:c r="C100" s="28" t="s">
        <x:v>731</x:v>
      </x:c>
      <x:c r="D100" s="28" t="s">
        <x:v>18</x:v>
      </x:c>
      <x:c r="E100" s="28" t="s">
        <x:v>43</x:v>
      </x:c>
      <x:c r="F100" s="28" t="s">
        <x:v>732</x:v>
      </x:c>
      <x:c r="G100" s="28" t="s">
        <x:v>733</x:v>
      </x:c>
      <x:c r="H100" s="28" t="s">
        <x:v>734</x:v>
      </x:c>
      <x:c r="I100" s="28" t="s">
        <x:v>735</x:v>
      </x:c>
      <x:c r="J100" s="28" t="s">
        <x:v>736</x:v>
      </x:c>
      <x:c r="K100" s="28" t="s">
        <x:v>25</x:v>
      </x:c>
      <x:c r="L100" s="28" t="s">
        <x:v>25</x:v>
      </x:c>
      <x:c r="M100" s="28" t="s">
        <x:v>26</x:v>
      </x:c>
      <x:c r="N100" s="28" t="s">
        <x:v>49</x:v>
      </x:c>
      <x:c r="O100" s="28" t="s">
        <x:v>28</x:v>
      </x:c>
      <x:c r="P100" s="29" t="s">
        <x:v>29</x:v>
      </x:c>
    </x:row>
    <x:row r="101">
      <x:c r="A101" s="27">
        <x:v>1101</x:v>
      </x:c>
      <x:c r="B101" s="28" t="s">
        <x:v>737</x:v>
      </x:c>
      <x:c r="C101" s="28" t="s">
        <x:v>738</x:v>
      </x:c>
      <x:c r="D101" s="28" t="s">
        <x:v>32</x:v>
      </x:c>
      <x:c r="E101" s="28" t="s">
        <x:v>53</x:v>
      </x:c>
      <x:c r="F101" s="28" t="s">
        <x:v>739</x:v>
      </x:c>
      <x:c r="G101" s="28" t="s">
        <x:v>740</x:v>
      </x:c>
      <x:c r="H101" s="28" t="s">
        <x:v>741</x:v>
      </x:c>
      <x:c r="I101" s="28" t="s">
        <x:v>742</x:v>
      </x:c>
      <x:c r="J101" s="28" t="s">
        <x:v>743</x:v>
      </x:c>
      <x:c r="K101" s="28" t="s">
        <x:v>25</x:v>
      </x:c>
      <x:c r="L101" s="28" t="s">
        <x:v>25</x:v>
      </x:c>
      <x:c r="M101" s="28" t="s">
        <x:v>26</x:v>
      </x:c>
      <x:c r="N101" s="28" t="s">
        <x:v>59</x:v>
      </x:c>
      <x:c r="O101" s="28" t="s">
        <x:v>28</x:v>
      </x:c>
      <x:c r="P101" s="29" t="s">
        <x:v>29</x:v>
      </x:c>
    </x:row>
    <x:row r="102">
      <x:c r="A102" s="27">
        <x:v>1102</x:v>
      </x:c>
      <x:c r="B102" s="28" t="s">
        <x:v>744</x:v>
      </x:c>
      <x:c r="C102" s="28" t="s">
        <x:v>745</x:v>
      </x:c>
      <x:c r="D102" s="28" t="s">
        <x:v>42</x:v>
      </x:c>
      <x:c r="E102" s="28" t="s">
        <x:v>63</x:v>
      </x:c>
      <x:c r="F102" s="28" t="s">
        <x:v>746</x:v>
      </x:c>
      <x:c r="G102" s="28" t="s">
        <x:v>747</x:v>
      </x:c>
      <x:c r="H102" s="28" t="s">
        <x:v>748</x:v>
      </x:c>
      <x:c r="I102" s="28" t="s">
        <x:v>749</x:v>
      </x:c>
      <x:c r="J102" s="28" t="s">
        <x:v>750</x:v>
      </x:c>
      <x:c r="K102" s="28" t="s">
        <x:v>25</x:v>
      </x:c>
      <x:c r="L102" s="28" t="s">
        <x:v>25</x:v>
      </x:c>
      <x:c r="M102" s="28" t="s">
        <x:v>26</x:v>
      </x:c>
      <x:c r="N102" s="28" t="s">
        <x:v>27</x:v>
      </x:c>
      <x:c r="O102" s="28" t="s">
        <x:v>28</x:v>
      </x:c>
      <x:c r="P102" s="29" t="s">
        <x:v>29</x:v>
      </x:c>
    </x:row>
    <x:row r="103">
      <x:c r="A103" s="27">
        <x:v>1103</x:v>
      </x:c>
      <x:c r="B103" s="28" t="s">
        <x:v>751</x:v>
      </x:c>
      <x:c r="C103" s="28" t="s">
        <x:v>752</x:v>
      </x:c>
      <x:c r="D103" s="28" t="s">
        <x:v>52</x:v>
      </x:c>
      <x:c r="E103" s="28" t="s">
        <x:v>72</x:v>
      </x:c>
      <x:c r="F103" s="28" t="s">
        <x:v>753</x:v>
      </x:c>
      <x:c r="G103" s="28" t="s">
        <x:v>754</x:v>
      </x:c>
      <x:c r="H103" s="28" t="s">
        <x:v>755</x:v>
      </x:c>
      <x:c r="I103" s="28" t="s">
        <x:v>756</x:v>
      </x:c>
      <x:c r="J103" s="28" t="s">
        <x:v>757</x:v>
      </x:c>
      <x:c r="K103" s="28" t="s">
        <x:v>25</x:v>
      </x:c>
      <x:c r="L103" s="28" t="s">
        <x:v>25</x:v>
      </x:c>
      <x:c r="M103" s="28" t="s">
        <x:v>26</x:v>
      </x:c>
      <x:c r="N103" s="28" t="s">
        <x:v>39</x:v>
      </x:c>
      <x:c r="O103" s="28" t="s">
        <x:v>28</x:v>
      </x:c>
      <x:c r="P103" s="29" t="s">
        <x:v>29</x:v>
      </x:c>
    </x:row>
    <x:row r="104">
      <x:c r="A104" s="27">
        <x:v>1104</x:v>
      </x:c>
      <x:c r="B104" s="28" t="s">
        <x:v>758</x:v>
      </x:c>
      <x:c r="C104" s="28" t="s">
        <x:v>759</x:v>
      </x:c>
      <x:c r="D104" s="28" t="s">
        <x:v>62</x:v>
      </x:c>
      <x:c r="E104" s="28" t="s">
        <x:v>19</x:v>
      </x:c>
      <x:c r="F104" s="28" t="s">
        <x:v>760</x:v>
      </x:c>
      <x:c r="G104" s="28" t="s">
        <x:v>761</x:v>
      </x:c>
      <x:c r="H104" s="28" t="s">
        <x:v>762</x:v>
      </x:c>
      <x:c r="I104" s="28" t="s">
        <x:v>763</x:v>
      </x:c>
      <x:c r="J104" s="28" t="s">
        <x:v>764</x:v>
      </x:c>
      <x:c r="K104" s="28" t="s">
        <x:v>25</x:v>
      </x:c>
      <x:c r="L104" s="28" t="s">
        <x:v>25</x:v>
      </x:c>
      <x:c r="M104" s="28" t="s">
        <x:v>26</x:v>
      </x:c>
      <x:c r="N104" s="28" t="s">
        <x:v>49</x:v>
      </x:c>
      <x:c r="O104" s="28" t="s">
        <x:v>28</x:v>
      </x:c>
      <x:c r="P104" s="29" t="s">
        <x:v>29</x:v>
      </x:c>
    </x:row>
    <x:row r="105">
      <x:c r="A105" s="27">
        <x:v>1105</x:v>
      </x:c>
      <x:c r="B105" s="28" t="s">
        <x:v>765</x:v>
      </x:c>
      <x:c r="C105" s="28" t="s">
        <x:v>766</x:v>
      </x:c>
      <x:c r="D105" s="28" t="s">
        <x:v>71</x:v>
      </x:c>
      <x:c r="E105" s="28" t="s">
        <x:v>33</x:v>
      </x:c>
      <x:c r="F105" s="28" t="s">
        <x:v>767</x:v>
      </x:c>
      <x:c r="G105" s="28" t="s">
        <x:v>768</x:v>
      </x:c>
      <x:c r="H105" s="28" t="s">
        <x:v>769</x:v>
      </x:c>
      <x:c r="I105" s="28" t="s">
        <x:v>770</x:v>
      </x:c>
      <x:c r="J105" s="28" t="s">
        <x:v>771</x:v>
      </x:c>
      <x:c r="K105" s="28" t="s">
        <x:v>25</x:v>
      </x:c>
      <x:c r="L105" s="28" t="s">
        <x:v>25</x:v>
      </x:c>
      <x:c r="M105" s="28" t="s">
        <x:v>26</x:v>
      </x:c>
      <x:c r="N105" s="28" t="s">
        <x:v>59</x:v>
      </x:c>
      <x:c r="O105" s="28" t="s">
        <x:v>28</x:v>
      </x:c>
      <x:c r="P105" s="29" t="s">
        <x:v>29</x:v>
      </x:c>
    </x:row>
    <x:row r="106">
      <x:c r="A106" s="27">
        <x:v>1106</x:v>
      </x:c>
      <x:c r="B106" s="28" t="s">
        <x:v>772</x:v>
      </x:c>
      <x:c r="C106" s="28" t="s">
        <x:v>773</x:v>
      </x:c>
      <x:c r="D106" s="28" t="s">
        <x:v>80</x:v>
      </x:c>
      <x:c r="E106" s="28" t="s">
        <x:v>43</x:v>
      </x:c>
      <x:c r="F106" s="28" t="s">
        <x:v>774</x:v>
      </x:c>
      <x:c r="G106" s="28" t="s">
        <x:v>775</x:v>
      </x:c>
      <x:c r="H106" s="28" t="s">
        <x:v>776</x:v>
      </x:c>
      <x:c r="I106" s="28" t="s">
        <x:v>777</x:v>
      </x:c>
      <x:c r="J106" s="28" t="s">
        <x:v>778</x:v>
      </x:c>
      <x:c r="K106" s="28" t="s">
        <x:v>25</x:v>
      </x:c>
      <x:c r="L106" s="28" t="s">
        <x:v>25</x:v>
      </x:c>
      <x:c r="M106" s="28" t="s">
        <x:v>26</x:v>
      </x:c>
      <x:c r="N106" s="28" t="s">
        <x:v>27</x:v>
      </x:c>
      <x:c r="O106" s="28" t="s">
        <x:v>28</x:v>
      </x:c>
      <x:c r="P106" s="29" t="s">
        <x:v>29</x:v>
      </x:c>
    </x:row>
    <x:row r="107">
      <x:c r="A107" s="27">
        <x:v>1107</x:v>
      </x:c>
      <x:c r="B107" s="28" t="s">
        <x:v>779</x:v>
      </x:c>
      <x:c r="C107" s="28" t="s">
        <x:v>780</x:v>
      </x:c>
      <x:c r="D107" s="28" t="s">
        <x:v>88</x:v>
      </x:c>
      <x:c r="E107" s="28" t="s">
        <x:v>53</x:v>
      </x:c>
      <x:c r="F107" s="28" t="s">
        <x:v>781</x:v>
      </x:c>
      <x:c r="G107" s="28" t="s">
        <x:v>782</x:v>
      </x:c>
      <x:c r="H107" s="28" t="s">
        <x:v>783</x:v>
      </x:c>
      <x:c r="I107" s="28" t="s">
        <x:v>784</x:v>
      </x:c>
      <x:c r="J107" s="28" t="s">
        <x:v>785</x:v>
      </x:c>
      <x:c r="K107" s="28" t="s">
        <x:v>25</x:v>
      </x:c>
      <x:c r="L107" s="28" t="s">
        <x:v>25</x:v>
      </x:c>
      <x:c r="M107" s="28" t="s">
        <x:v>26</x:v>
      </x:c>
      <x:c r="N107" s="28" t="s">
        <x:v>39</x:v>
      </x:c>
      <x:c r="O107" s="28" t="s">
        <x:v>28</x:v>
      </x:c>
      <x:c r="P107" s="29" t="s">
        <x:v>29</x:v>
      </x:c>
    </x:row>
    <x:row r="108">
      <x:c r="A108" s="27">
        <x:v>1108</x:v>
      </x:c>
      <x:c r="B108" s="28" t="s">
        <x:v>786</x:v>
      </x:c>
      <x:c r="C108" s="28" t="s">
        <x:v>787</x:v>
      </x:c>
      <x:c r="D108" s="28" t="s">
        <x:v>96</x:v>
      </x:c>
      <x:c r="E108" s="28" t="s">
        <x:v>63</x:v>
      </x:c>
      <x:c r="F108" s="28" t="s">
        <x:v>788</x:v>
      </x:c>
      <x:c r="G108" s="28" t="s">
        <x:v>789</x:v>
      </x:c>
      <x:c r="H108" s="28" t="s">
        <x:v>790</x:v>
      </x:c>
      <x:c r="I108" s="28" t="s">
        <x:v>791</x:v>
      </x:c>
      <x:c r="J108" s="28" t="s">
        <x:v>792</x:v>
      </x:c>
      <x:c r="K108" s="28" t="s">
        <x:v>25</x:v>
      </x:c>
      <x:c r="L108" s="28" t="s">
        <x:v>25</x:v>
      </x:c>
      <x:c r="M108" s="28" t="s">
        <x:v>26</x:v>
      </x:c>
      <x:c r="N108" s="28" t="s">
        <x:v>49</x:v>
      </x:c>
      <x:c r="O108" s="28" t="s">
        <x:v>28</x:v>
      </x:c>
      <x:c r="P108" s="29" t="s">
        <x:v>29</x:v>
      </x:c>
    </x:row>
    <x:row r="109">
      <x:c r="A109" s="27">
        <x:v>1109</x:v>
      </x:c>
      <x:c r="B109" s="28" t="s">
        <x:v>793</x:v>
      </x:c>
      <x:c r="C109" s="28" t="s">
        <x:v>794</x:v>
      </x:c>
      <x:c r="D109" s="28" t="s">
        <x:v>104</x:v>
      </x:c>
      <x:c r="E109" s="28" t="s">
        <x:v>72</x:v>
      </x:c>
      <x:c r="F109" s="28" t="s">
        <x:v>795</x:v>
      </x:c>
      <x:c r="G109" s="28" t="s">
        <x:v>796</x:v>
      </x:c>
      <x:c r="H109" s="28" t="s">
        <x:v>797</x:v>
      </x:c>
      <x:c r="I109" s="28" t="s">
        <x:v>798</x:v>
      </x:c>
      <x:c r="J109" s="28" t="s">
        <x:v>799</x:v>
      </x:c>
      <x:c r="K109" s="28" t="s">
        <x:v>25</x:v>
      </x:c>
      <x:c r="L109" s="28" t="s">
        <x:v>25</x:v>
      </x:c>
      <x:c r="M109" s="28" t="s">
        <x:v>26</x:v>
      </x:c>
      <x:c r="N109" s="28" t="s">
        <x:v>59</x:v>
      </x:c>
      <x:c r="O109" s="28" t="s">
        <x:v>28</x:v>
      </x:c>
      <x:c r="P109" s="29" t="s">
        <x:v>29</x:v>
      </x:c>
    </x:row>
    <x:row r="110">
      <x:c r="A110" s="27">
        <x:v>1110</x:v>
      </x:c>
      <x:c r="B110" s="28" t="s">
        <x:v>800</x:v>
      </x:c>
      <x:c r="C110" s="28" t="s">
        <x:v>801</x:v>
      </x:c>
      <x:c r="D110" s="28" t="s">
        <x:v>112</x:v>
      </x:c>
      <x:c r="E110" s="28" t="s">
        <x:v>19</x:v>
      </x:c>
      <x:c r="F110" s="28" t="s">
        <x:v>802</x:v>
      </x:c>
      <x:c r="G110" s="28" t="s">
        <x:v>803</x:v>
      </x:c>
      <x:c r="H110" s="28" t="s">
        <x:v>804</x:v>
      </x:c>
      <x:c r="I110" s="28" t="s">
        <x:v>805</x:v>
      </x:c>
      <x:c r="J110" s="28" t="s">
        <x:v>806</x:v>
      </x:c>
      <x:c r="K110" s="28" t="s">
        <x:v>25</x:v>
      </x:c>
      <x:c r="L110" s="28" t="s">
        <x:v>25</x:v>
      </x:c>
      <x:c r="M110" s="28" t="s">
        <x:v>26</x:v>
      </x:c>
      <x:c r="N110" s="28" t="s">
        <x:v>27</x:v>
      </x:c>
      <x:c r="O110" s="28" t="s">
        <x:v>28</x:v>
      </x:c>
      <x:c r="P110" s="29" t="s">
        <x:v>29</x:v>
      </x:c>
    </x:row>
    <x:row r="111">
      <x:c r="A111" s="27">
        <x:v>1111</x:v>
      </x:c>
      <x:c r="B111" s="28" t="s">
        <x:v>807</x:v>
      </x:c>
      <x:c r="C111" s="28" t="s">
        <x:v>808</x:v>
      </x:c>
      <x:c r="D111" s="28" t="s">
        <x:v>120</x:v>
      </x:c>
      <x:c r="E111" s="28" t="s">
        <x:v>33</x:v>
      </x:c>
      <x:c r="F111" s="28" t="s">
        <x:v>809</x:v>
      </x:c>
      <x:c r="G111" s="28" t="s">
        <x:v>810</x:v>
      </x:c>
      <x:c r="H111" s="28" t="s">
        <x:v>811</x:v>
      </x:c>
      <x:c r="I111" s="28" t="s">
        <x:v>812</x:v>
      </x:c>
      <x:c r="J111" s="28" t="s">
        <x:v>813</x:v>
      </x:c>
      <x:c r="K111" s="28" t="s">
        <x:v>239</x:v>
      </x:c>
      <x:c r="L111" s="28" t="s">
        <x:v>25</x:v>
      </x:c>
      <x:c r="M111" s="28" t="s">
        <x:v>240</x:v>
      </x:c>
      <x:c r="N111" s="28" t="s">
        <x:v>39</x:v>
      </x:c>
      <x:c r="O111" s="28" t="s">
        <x:v>241</x:v>
      </x:c>
      <x:c r="P111" s="29" t="s">
        <x:v>241</x:v>
      </x:c>
    </x:row>
    <x:row r="112">
      <x:c r="A112" s="27">
        <x:v>1112</x:v>
      </x:c>
      <x:c r="B112" s="28" t="s">
        <x:v>814</x:v>
      </x:c>
      <x:c r="C112" s="28" t="s">
        <x:v>815</x:v>
      </x:c>
      <x:c r="D112" s="28" t="s">
        <x:v>128</x:v>
      </x:c>
      <x:c r="E112" s="28" t="s">
        <x:v>43</x:v>
      </x:c>
      <x:c r="F112" s="28" t="s">
        <x:v>816</x:v>
      </x:c>
      <x:c r="G112" s="28" t="s">
        <x:v>817</x:v>
      </x:c>
      <x:c r="H112" s="28" t="s">
        <x:v>818</x:v>
      </x:c>
      <x:c r="I112" s="28" t="s">
        <x:v>819</x:v>
      </x:c>
      <x:c r="J112" s="28" t="s">
        <x:v>820</x:v>
      </x:c>
      <x:c r="K112" s="28" t="s">
        <x:v>25</x:v>
      </x:c>
      <x:c r="L112" s="28" t="s">
        <x:v>25</x:v>
      </x:c>
      <x:c r="M112" s="28" t="s">
        <x:v>26</x:v>
      </x:c>
      <x:c r="N112" s="28" t="s">
        <x:v>49</x:v>
      </x:c>
      <x:c r="O112" s="28" t="s">
        <x:v>28</x:v>
      </x:c>
      <x:c r="P112" s="29" t="s">
        <x:v>29</x:v>
      </x:c>
    </x:row>
    <x:row r="113">
      <x:c r="A113" s="27">
        <x:v>1113</x:v>
      </x:c>
      <x:c r="B113" s="28" t="s">
        <x:v>821</x:v>
      </x:c>
      <x:c r="C113" s="28" t="s">
        <x:v>822</x:v>
      </x:c>
      <x:c r="D113" s="28" t="s">
        <x:v>136</x:v>
      </x:c>
      <x:c r="E113" s="28" t="s">
        <x:v>53</x:v>
      </x:c>
      <x:c r="F113" s="28" t="s">
        <x:v>823</x:v>
      </x:c>
      <x:c r="G113" s="28" t="s">
        <x:v>824</x:v>
      </x:c>
      <x:c r="H113" s="28" t="s">
        <x:v>825</x:v>
      </x:c>
      <x:c r="I113" s="28" t="s">
        <x:v>826</x:v>
      </x:c>
      <x:c r="J113" s="28" t="s">
        <x:v>827</x:v>
      </x:c>
      <x:c r="K113" s="28" t="s">
        <x:v>25</x:v>
      </x:c>
      <x:c r="L113" s="28" t="s">
        <x:v>25</x:v>
      </x:c>
      <x:c r="M113" s="28" t="s">
        <x:v>26</x:v>
      </x:c>
      <x:c r="N113" s="28" t="s">
        <x:v>59</x:v>
      </x:c>
      <x:c r="O113" s="28" t="s">
        <x:v>28</x:v>
      </x:c>
      <x:c r="P113" s="29" t="s">
        <x:v>29</x:v>
      </x:c>
    </x:row>
    <x:row r="114">
      <x:c r="A114" s="27">
        <x:v>1114</x:v>
      </x:c>
      <x:c r="B114" s="28" t="s">
        <x:v>828</x:v>
      </x:c>
      <x:c r="C114" s="28" t="s">
        <x:v>829</x:v>
      </x:c>
      <x:c r="D114" s="28" t="s">
        <x:v>18</x:v>
      </x:c>
      <x:c r="E114" s="28" t="s">
        <x:v>63</x:v>
      </x:c>
      <x:c r="F114" s="28" t="s">
        <x:v>830</x:v>
      </x:c>
      <x:c r="G114" s="28" t="s">
        <x:v>831</x:v>
      </x:c>
      <x:c r="H114" s="28" t="s">
        <x:v>832</x:v>
      </x:c>
      <x:c r="I114" s="28" t="s">
        <x:v>833</x:v>
      </x:c>
      <x:c r="J114" s="28" t="s">
        <x:v>834</x:v>
      </x:c>
      <x:c r="K114" s="28" t="s">
        <x:v>25</x:v>
      </x:c>
      <x:c r="L114" s="28" t="s">
        <x:v>25</x:v>
      </x:c>
      <x:c r="M114" s="28" t="s">
        <x:v>26</x:v>
      </x:c>
      <x:c r="N114" s="28" t="s">
        <x:v>27</x:v>
      </x:c>
      <x:c r="O114" s="28" t="s">
        <x:v>28</x:v>
      </x:c>
      <x:c r="P114" s="29" t="s">
        <x:v>29</x:v>
      </x:c>
    </x:row>
    <x:row r="115">
      <x:c r="A115" s="27">
        <x:v>1115</x:v>
      </x:c>
      <x:c r="B115" s="28" t="s">
        <x:v>835</x:v>
      </x:c>
      <x:c r="C115" s="28" t="s">
        <x:v>836</x:v>
      </x:c>
      <x:c r="D115" s="28" t="s">
        <x:v>32</x:v>
      </x:c>
      <x:c r="E115" s="28" t="s">
        <x:v>72</x:v>
      </x:c>
      <x:c r="F115" s="28" t="s">
        <x:v>837</x:v>
      </x:c>
      <x:c r="G115" s="28" t="s">
        <x:v>838</x:v>
      </x:c>
      <x:c r="H115" s="28" t="s">
        <x:v>839</x:v>
      </x:c>
      <x:c r="I115" s="28" t="s">
        <x:v>840</x:v>
      </x:c>
      <x:c r="J115" s="28" t="s">
        <x:v>841</x:v>
      </x:c>
      <x:c r="K115" s="28" t="s">
        <x:v>25</x:v>
      </x:c>
      <x:c r="L115" s="28" t="s">
        <x:v>25</x:v>
      </x:c>
      <x:c r="M115" s="28" t="s">
        <x:v>26</x:v>
      </x:c>
      <x:c r="N115" s="28" t="s">
        <x:v>39</x:v>
      </x:c>
      <x:c r="O115" s="28" t="s">
        <x:v>28</x:v>
      </x:c>
      <x:c r="P115" s="29" t="s">
        <x:v>29</x:v>
      </x:c>
    </x:row>
    <x:row r="116">
      <x:c r="A116" s="27">
        <x:v>1116</x:v>
      </x:c>
      <x:c r="B116" s="28" t="s">
        <x:v>842</x:v>
      </x:c>
      <x:c r="C116" s="28" t="s">
        <x:v>843</x:v>
      </x:c>
      <x:c r="D116" s="28" t="s">
        <x:v>42</x:v>
      </x:c>
      <x:c r="E116" s="28" t="s">
        <x:v>19</x:v>
      </x:c>
      <x:c r="F116" s="28"/>
      <x:c r="G116" s="28" t="s">
        <x:v>844</x:v>
      </x:c>
      <x:c r="H116" s="28" t="s">
        <x:v>845</x:v>
      </x:c>
      <x:c r="I116" s="28" t="s">
        <x:v>846</x:v>
      </x:c>
      <x:c r="J116" s="28" t="s">
        <x:v>847</x:v>
      </x:c>
      <x:c r="K116" s="28" t="s">
        <x:v>25</x:v>
      </x:c>
      <x:c r="L116" s="28" t="s">
        <x:v>239</x:v>
      </x:c>
      <x:c r="M116" s="28" t="s">
        <x:v>240</x:v>
      </x:c>
      <x:c r="N116" s="28" t="s">
        <x:v>49</x:v>
      </x:c>
      <x:c r="O116" s="28" t="s">
        <x:v>241</x:v>
      </x:c>
      <x:c r="P116" s="29" t="s">
        <x:v>241</x:v>
      </x:c>
    </x:row>
    <x:row r="117">
      <x:c r="A117" s="27">
        <x:v>1117</x:v>
      </x:c>
      <x:c r="B117" s="28" t="s">
        <x:v>848</x:v>
      </x:c>
      <x:c r="C117" s="28" t="s">
        <x:v>849</x:v>
      </x:c>
      <x:c r="D117" s="28" t="s">
        <x:v>52</x:v>
      </x:c>
      <x:c r="E117" s="28" t="s">
        <x:v>33</x:v>
      </x:c>
      <x:c r="F117" s="28" t="s">
        <x:v>850</x:v>
      </x:c>
      <x:c r="G117" s="28" t="s">
        <x:v>851</x:v>
      </x:c>
      <x:c r="H117" s="28" t="s">
        <x:v>852</x:v>
      </x:c>
      <x:c r="I117" s="28" t="s">
        <x:v>853</x:v>
      </x:c>
      <x:c r="J117" s="28" t="s">
        <x:v>854</x:v>
      </x:c>
      <x:c r="K117" s="28" t="s">
        <x:v>25</x:v>
      </x:c>
      <x:c r="L117" s="28" t="s">
        <x:v>25</x:v>
      </x:c>
      <x:c r="M117" s="28" t="s">
        <x:v>26</x:v>
      </x:c>
      <x:c r="N117" s="28" t="s">
        <x:v>59</x:v>
      </x:c>
      <x:c r="O117" s="28" t="s">
        <x:v>28</x:v>
      </x:c>
      <x:c r="P117" s="29" t="s">
        <x:v>29</x:v>
      </x:c>
    </x:row>
    <x:row r="118">
      <x:c r="A118" s="27">
        <x:v>1118</x:v>
      </x:c>
      <x:c r="B118" s="28" t="s">
        <x:v>855</x:v>
      </x:c>
      <x:c r="C118" s="28" t="s">
        <x:v>856</x:v>
      </x:c>
      <x:c r="D118" s="28" t="s">
        <x:v>62</x:v>
      </x:c>
      <x:c r="E118" s="28" t="s">
        <x:v>43</x:v>
      </x:c>
      <x:c r="F118" s="28" t="s">
        <x:v>857</x:v>
      </x:c>
      <x:c r="G118" s="28" t="s">
        <x:v>858</x:v>
      </x:c>
      <x:c r="H118" s="28" t="s">
        <x:v>859</x:v>
      </x:c>
      <x:c r="I118" s="28" t="s">
        <x:v>860</x:v>
      </x:c>
      <x:c r="J118" s="28" t="s">
        <x:v>861</x:v>
      </x:c>
      <x:c r="K118" s="28" t="s">
        <x:v>25</x:v>
      </x:c>
      <x:c r="L118" s="28" t="s">
        <x:v>25</x:v>
      </x:c>
      <x:c r="M118" s="28" t="s">
        <x:v>26</x:v>
      </x:c>
      <x:c r="N118" s="28" t="s">
        <x:v>27</x:v>
      </x:c>
      <x:c r="O118" s="28" t="s">
        <x:v>28</x:v>
      </x:c>
      <x:c r="P118" s="29" t="s">
        <x:v>29</x:v>
      </x:c>
    </x:row>
    <x:row r="119">
      <x:c r="A119" s="27">
        <x:v>1119</x:v>
      </x:c>
      <x:c r="B119" s="28" t="s">
        <x:v>862</x:v>
      </x:c>
      <x:c r="C119" s="28" t="s">
        <x:v>863</x:v>
      </x:c>
      <x:c r="D119" s="28" t="s">
        <x:v>71</x:v>
      </x:c>
      <x:c r="E119" s="28" t="s">
        <x:v>53</x:v>
      </x:c>
      <x:c r="F119" s="28" t="s">
        <x:v>864</x:v>
      </x:c>
      <x:c r="G119" s="28" t="s">
        <x:v>865</x:v>
      </x:c>
      <x:c r="H119" s="28" t="s">
        <x:v>866</x:v>
      </x:c>
      <x:c r="I119" s="28" t="s">
        <x:v>867</x:v>
      </x:c>
      <x:c r="J119" s="28" t="s">
        <x:v>868</x:v>
      </x:c>
      <x:c r="K119" s="28" t="s">
        <x:v>25</x:v>
      </x:c>
      <x:c r="L119" s="28" t="s">
        <x:v>25</x:v>
      </x:c>
      <x:c r="M119" s="28" t="s">
        <x:v>26</x:v>
      </x:c>
      <x:c r="N119" s="28" t="s">
        <x:v>39</x:v>
      </x:c>
      <x:c r="O119" s="28" t="s">
        <x:v>28</x:v>
      </x:c>
      <x:c r="P119" s="29" t="s">
        <x:v>29</x:v>
      </x:c>
    </x:row>
    <x:row r="120">
      <x:c r="A120" s="27">
        <x:v>1120</x:v>
      </x:c>
      <x:c r="B120" s="28" t="s">
        <x:v>869</x:v>
      </x:c>
      <x:c r="C120" s="28" t="s">
        <x:v>870</x:v>
      </x:c>
      <x:c r="D120" s="28" t="s">
        <x:v>80</x:v>
      </x:c>
      <x:c r="E120" s="28" t="s">
        <x:v>63</x:v>
      </x:c>
      <x:c r="F120" s="28" t="s">
        <x:v>871</x:v>
      </x:c>
      <x:c r="G120" s="28" t="s">
        <x:v>872</x:v>
      </x:c>
      <x:c r="H120" s="28" t="s">
        <x:v>873</x:v>
      </x:c>
      <x:c r="I120" s="28" t="s">
        <x:v>874</x:v>
      </x:c>
      <x:c r="J120" s="28" t="s">
        <x:v>875</x:v>
      </x:c>
      <x:c r="K120" s="28" t="s">
        <x:v>25</x:v>
      </x:c>
      <x:c r="L120" s="28" t="s">
        <x:v>25</x:v>
      </x:c>
      <x:c r="M120" s="28" t="s">
        <x:v>26</x:v>
      </x:c>
      <x:c r="N120" s="28" t="s">
        <x:v>49</x:v>
      </x:c>
      <x:c r="O120" s="28" t="s">
        <x:v>28</x:v>
      </x:c>
      <x:c r="P120" s="29" t="s">
        <x:v>29</x:v>
      </x:c>
    </x:row>
    <x:row r="121">
      <x:c r="A121" s="27">
        <x:v>1121</x:v>
      </x:c>
      <x:c r="B121" s="28" t="s">
        <x:v>876</x:v>
      </x:c>
      <x:c r="C121" s="28" t="s">
        <x:v>877</x:v>
      </x:c>
      <x:c r="D121" s="28" t="s">
        <x:v>88</x:v>
      </x:c>
      <x:c r="E121" s="28" t="s">
        <x:v>72</x:v>
      </x:c>
      <x:c r="F121" s="28" t="s">
        <x:v>878</x:v>
      </x:c>
      <x:c r="G121" s="28" t="s">
        <x:v>879</x:v>
      </x:c>
      <x:c r="H121" s="28" t="s">
        <x:v>880</x:v>
      </x:c>
      <x:c r="I121" s="28" t="s">
        <x:v>881</x:v>
      </x:c>
      <x:c r="J121" s="28" t="s">
        <x:v>882</x:v>
      </x:c>
      <x:c r="K121" s="28" t="s">
        <x:v>25</x:v>
      </x:c>
      <x:c r="L121" s="28" t="s">
        <x:v>25</x:v>
      </x:c>
      <x:c r="M121" s="28" t="s">
        <x:v>26</x:v>
      </x:c>
      <x:c r="N121" s="28" t="s">
        <x:v>59</x:v>
      </x:c>
      <x:c r="O121" s="28" t="s">
        <x:v>28</x:v>
      </x:c>
      <x:c r="P121" s="29" t="s">
        <x:v>29</x:v>
      </x:c>
    </x:row>
    <x:row r="122">
      <x:c r="A122" s="27">
        <x:v>1122</x:v>
      </x:c>
      <x:c r="B122" s="28" t="s">
        <x:v>883</x:v>
      </x:c>
      <x:c r="C122" s="28" t="s">
        <x:v>884</x:v>
      </x:c>
      <x:c r="D122" s="28" t="s">
        <x:v>96</x:v>
      </x:c>
      <x:c r="E122" s="28" t="s">
        <x:v>19</x:v>
      </x:c>
      <x:c r="F122" s="28" t="s">
        <x:v>885</x:v>
      </x:c>
      <x:c r="G122" s="28" t="s">
        <x:v>886</x:v>
      </x:c>
      <x:c r="H122" s="28" t="s">
        <x:v>887</x:v>
      </x:c>
      <x:c r="I122" s="28" t="s">
        <x:v>888</x:v>
      </x:c>
      <x:c r="J122" s="28" t="s">
        <x:v>889</x:v>
      </x:c>
      <x:c r="K122" s="28" t="s">
        <x:v>25</x:v>
      </x:c>
      <x:c r="L122" s="28" t="s">
        <x:v>25</x:v>
      </x:c>
      <x:c r="M122" s="28" t="s">
        <x:v>26</x:v>
      </x:c>
      <x:c r="N122" s="28" t="s">
        <x:v>27</x:v>
      </x:c>
      <x:c r="O122" s="28" t="s">
        <x:v>28</x:v>
      </x:c>
      <x:c r="P122" s="29" t="s">
        <x:v>29</x:v>
      </x:c>
    </x:row>
    <x:row r="123">
      <x:c r="A123" s="27">
        <x:v>1123</x:v>
      </x:c>
      <x:c r="B123" s="28" t="s">
        <x:v>890</x:v>
      </x:c>
      <x:c r="C123" s="28" t="s">
        <x:v>891</x:v>
      </x:c>
      <x:c r="D123" s="28" t="s">
        <x:v>104</x:v>
      </x:c>
      <x:c r="E123" s="28" t="s">
        <x:v>33</x:v>
      </x:c>
      <x:c r="F123" s="28" t="s">
        <x:v>892</x:v>
      </x:c>
      <x:c r="G123" s="28" t="s">
        <x:v>893</x:v>
      </x:c>
      <x:c r="H123" s="28" t="s">
        <x:v>894</x:v>
      </x:c>
      <x:c r="I123" s="28" t="s">
        <x:v>895</x:v>
      </x:c>
      <x:c r="J123" s="28" t="s">
        <x:v>896</x:v>
      </x:c>
      <x:c r="K123" s="28" t="s">
        <x:v>25</x:v>
      </x:c>
      <x:c r="L123" s="28" t="s">
        <x:v>25</x:v>
      </x:c>
      <x:c r="M123" s="28" t="s">
        <x:v>26</x:v>
      </x:c>
      <x:c r="N123" s="28" t="s">
        <x:v>39</x:v>
      </x:c>
      <x:c r="O123" s="28" t="s">
        <x:v>28</x:v>
      </x:c>
      <x:c r="P123" s="29" t="s">
        <x:v>29</x:v>
      </x:c>
    </x:row>
    <x:row r="124">
      <x:c r="A124" s="27">
        <x:v>1124</x:v>
      </x:c>
      <x:c r="B124" s="28" t="s">
        <x:v>897</x:v>
      </x:c>
      <x:c r="C124" s="28" t="s">
        <x:v>898</x:v>
      </x:c>
      <x:c r="D124" s="28" t="s">
        <x:v>112</x:v>
      </x:c>
      <x:c r="E124" s="28" t="s">
        <x:v>43</x:v>
      </x:c>
      <x:c r="F124" s="28" t="s">
        <x:v>899</x:v>
      </x:c>
      <x:c r="G124" s="28" t="s">
        <x:v>900</x:v>
      </x:c>
      <x:c r="H124" s="28" t="s">
        <x:v>901</x:v>
      </x:c>
      <x:c r="I124" s="28" t="s">
        <x:v>902</x:v>
      </x:c>
      <x:c r="J124" s="28" t="s">
        <x:v>903</x:v>
      </x:c>
      <x:c r="K124" s="28" t="s">
        <x:v>25</x:v>
      </x:c>
      <x:c r="L124" s="28" t="s">
        <x:v>25</x:v>
      </x:c>
      <x:c r="M124" s="28" t="s">
        <x:v>26</x:v>
      </x:c>
      <x:c r="N124" s="28" t="s">
        <x:v>49</x:v>
      </x:c>
      <x:c r="O124" s="28" t="s">
        <x:v>28</x:v>
      </x:c>
      <x:c r="P124" s="29" t="s">
        <x:v>29</x:v>
      </x:c>
    </x:row>
    <x:row r="125">
      <x:c r="A125" s="27">
        <x:v>1125</x:v>
      </x:c>
      <x:c r="B125" s="28" t="s">
        <x:v>904</x:v>
      </x:c>
      <x:c r="C125" s="28" t="s">
        <x:v>905</x:v>
      </x:c>
      <x:c r="D125" s="28" t="s">
        <x:v>120</x:v>
      </x:c>
      <x:c r="E125" s="28" t="s">
        <x:v>53</x:v>
      </x:c>
      <x:c r="F125" s="28" t="s">
        <x:v>906</x:v>
      </x:c>
      <x:c r="G125" s="28" t="s">
        <x:v>907</x:v>
      </x:c>
      <x:c r="H125" s="28" t="s">
        <x:v>908</x:v>
      </x:c>
      <x:c r="I125" s="28" t="s">
        <x:v>909</x:v>
      </x:c>
      <x:c r="J125" s="28" t="s">
        <x:v>910</x:v>
      </x:c>
      <x:c r="K125" s="28" t="s">
        <x:v>25</x:v>
      </x:c>
      <x:c r="L125" s="28" t="s">
        <x:v>25</x:v>
      </x:c>
      <x:c r="M125" s="28" t="s">
        <x:v>26</x:v>
      </x:c>
      <x:c r="N125" s="28" t="s">
        <x:v>59</x:v>
      </x:c>
      <x:c r="O125" s="28" t="s">
        <x:v>28</x:v>
      </x:c>
      <x:c r="P125" s="29" t="s">
        <x:v>29</x:v>
      </x:c>
    </x:row>
    <x:row r="126">
      <x:c r="A126" s="27">
        <x:v>1126</x:v>
      </x:c>
      <x:c r="B126" s="28" t="s">
        <x:v>911</x:v>
      </x:c>
      <x:c r="C126" s="28" t="s">
        <x:v>912</x:v>
      </x:c>
      <x:c r="D126" s="28" t="s">
        <x:v>128</x:v>
      </x:c>
      <x:c r="E126" s="28" t="s">
        <x:v>63</x:v>
      </x:c>
      <x:c r="F126" s="28" t="s">
        <x:v>913</x:v>
      </x:c>
      <x:c r="G126" s="28" t="s">
        <x:v>914</x:v>
      </x:c>
      <x:c r="H126" s="28" t="s">
        <x:v>915</x:v>
      </x:c>
      <x:c r="I126" s="28" t="s">
        <x:v>916</x:v>
      </x:c>
      <x:c r="J126" s="28" t="s">
        <x:v>917</x:v>
      </x:c>
      <x:c r="K126" s="28" t="s">
        <x:v>25</x:v>
      </x:c>
      <x:c r="L126" s="28" t="s">
        <x:v>25</x:v>
      </x:c>
      <x:c r="M126" s="28" t="s">
        <x:v>26</x:v>
      </x:c>
      <x:c r="N126" s="28" t="s">
        <x:v>27</x:v>
      </x:c>
      <x:c r="O126" s="28" t="s">
        <x:v>28</x:v>
      </x:c>
      <x:c r="P126" s="29" t="s">
        <x:v>29</x:v>
      </x:c>
    </x:row>
    <x:row r="127">
      <x:c r="A127" s="27">
        <x:v>1127</x:v>
      </x:c>
      <x:c r="B127" s="28" t="s">
        <x:v>918</x:v>
      </x:c>
      <x:c r="C127" s="28" t="s">
        <x:v>919</x:v>
      </x:c>
      <x:c r="D127" s="28" t="s">
        <x:v>136</x:v>
      </x:c>
      <x:c r="E127" s="28" t="s">
        <x:v>72</x:v>
      </x:c>
      <x:c r="F127" s="28" t="s">
        <x:v>920</x:v>
      </x:c>
      <x:c r="G127" s="28" t="s">
        <x:v>921</x:v>
      </x:c>
      <x:c r="H127" s="28" t="s">
        <x:v>922</x:v>
      </x:c>
      <x:c r="I127" s="28" t="s">
        <x:v>923</x:v>
      </x:c>
      <x:c r="J127" s="28" t="s">
        <x:v>924</x:v>
      </x:c>
      <x:c r="K127" s="28" t="s">
        <x:v>25</x:v>
      </x:c>
      <x:c r="L127" s="28" t="s">
        <x:v>25</x:v>
      </x:c>
      <x:c r="M127" s="28" t="s">
        <x:v>26</x:v>
      </x:c>
      <x:c r="N127" s="28" t="s">
        <x:v>39</x:v>
      </x:c>
      <x:c r="O127" s="28" t="s">
        <x:v>28</x:v>
      </x:c>
      <x:c r="P127" s="29" t="s">
        <x:v>29</x:v>
      </x:c>
    </x:row>
    <x:row r="128">
      <x:c r="A128" s="27">
        <x:v>1128</x:v>
      </x:c>
      <x:c r="B128" s="28" t="s">
        <x:v>925</x:v>
      </x:c>
      <x:c r="C128" s="28" t="s">
        <x:v>926</x:v>
      </x:c>
      <x:c r="D128" s="28" t="s">
        <x:v>18</x:v>
      </x:c>
      <x:c r="E128" s="28" t="s">
        <x:v>19</x:v>
      </x:c>
      <x:c r="F128" s="28" t="s">
        <x:v>927</x:v>
      </x:c>
      <x:c r="G128" s="28" t="s">
        <x:v>928</x:v>
      </x:c>
      <x:c r="H128" s="28" t="s">
        <x:v>929</x:v>
      </x:c>
      <x:c r="I128" s="28" t="s">
        <x:v>930</x:v>
      </x:c>
      <x:c r="J128" s="28" t="s">
        <x:v>931</x:v>
      </x:c>
      <x:c r="K128" s="28" t="s">
        <x:v>25</x:v>
      </x:c>
      <x:c r="L128" s="28" t="s">
        <x:v>25</x:v>
      </x:c>
      <x:c r="M128" s="28" t="s">
        <x:v>26</x:v>
      </x:c>
      <x:c r="N128" s="28" t="s">
        <x:v>49</x:v>
      </x:c>
      <x:c r="O128" s="28" t="s">
        <x:v>28</x:v>
      </x:c>
      <x:c r="P128" s="29" t="s">
        <x:v>29</x:v>
      </x:c>
    </x:row>
    <x:row r="129">
      <x:c r="A129" s="27">
        <x:v>1129</x:v>
      </x:c>
      <x:c r="B129" s="28" t="s">
        <x:v>932</x:v>
      </x:c>
      <x:c r="C129" s="28" t="s">
        <x:v>933</x:v>
      </x:c>
      <x:c r="D129" s="28" t="s">
        <x:v>32</x:v>
      </x:c>
      <x:c r="E129" s="28" t="s">
        <x:v>33</x:v>
      </x:c>
      <x:c r="F129" s="28" t="s">
        <x:v>934</x:v>
      </x:c>
      <x:c r="G129" s="28" t="s">
        <x:v>935</x:v>
      </x:c>
      <x:c r="H129" s="28" t="s">
        <x:v>936</x:v>
      </x:c>
      <x:c r="I129" s="28" t="s">
        <x:v>937</x:v>
      </x:c>
      <x:c r="J129" s="28" t="s">
        <x:v>938</x:v>
      </x:c>
      <x:c r="K129" s="28" t="s">
        <x:v>25</x:v>
      </x:c>
      <x:c r="L129" s="28" t="s">
        <x:v>25</x:v>
      </x:c>
      <x:c r="M129" s="28" t="s">
        <x:v>26</x:v>
      </x:c>
      <x:c r="N129" s="28" t="s">
        <x:v>59</x:v>
      </x:c>
      <x:c r="O129" s="28" t="s">
        <x:v>28</x:v>
      </x:c>
      <x:c r="P129" s="29" t="s">
        <x:v>29</x:v>
      </x:c>
    </x:row>
    <x:row r="130">
      <x:c r="A130" s="27">
        <x:v>1130</x:v>
      </x:c>
      <x:c r="B130" s="28" t="s">
        <x:v>939</x:v>
      </x:c>
      <x:c r="C130" s="28" t="s">
        <x:v>940</x:v>
      </x:c>
      <x:c r="D130" s="28" t="s">
        <x:v>42</x:v>
      </x:c>
      <x:c r="E130" s="28" t="s">
        <x:v>43</x:v>
      </x:c>
      <x:c r="F130" s="28" t="s">
        <x:v>941</x:v>
      </x:c>
      <x:c r="G130" s="28" t="s">
        <x:v>942</x:v>
      </x:c>
      <x:c r="H130" s="28" t="s">
        <x:v>943</x:v>
      </x:c>
      <x:c r="I130" s="28" t="s">
        <x:v>944</x:v>
      </x:c>
      <x:c r="J130" s="28" t="s">
        <x:v>945</x:v>
      </x:c>
      <x:c r="K130" s="28" t="s">
        <x:v>25</x:v>
      </x:c>
      <x:c r="L130" s="28" t="s">
        <x:v>25</x:v>
      </x:c>
      <x:c r="M130" s="28" t="s">
        <x:v>26</x:v>
      </x:c>
      <x:c r="N130" s="28" t="s">
        <x:v>27</x:v>
      </x:c>
      <x:c r="O130" s="28" t="s">
        <x:v>28</x:v>
      </x:c>
      <x:c r="P130" s="29" t="s">
        <x:v>29</x:v>
      </x:c>
    </x:row>
    <x:row r="131">
      <x:c r="A131" s="27">
        <x:v>1131</x:v>
      </x:c>
      <x:c r="B131" s="28" t="s">
        <x:v>946</x:v>
      </x:c>
      <x:c r="C131" s="28" t="s">
        <x:v>947</x:v>
      </x:c>
      <x:c r="D131" s="28" t="s">
        <x:v>52</x:v>
      </x:c>
      <x:c r="E131" s="28" t="s">
        <x:v>53</x:v>
      </x:c>
      <x:c r="F131" s="28" t="s">
        <x:v>948</x:v>
      </x:c>
      <x:c r="G131" s="28" t="s">
        <x:v>949</x:v>
      </x:c>
      <x:c r="H131" s="28" t="s">
        <x:v>950</x:v>
      </x:c>
      <x:c r="I131" s="28" t="s">
        <x:v>951</x:v>
      </x:c>
      <x:c r="J131" s="28" t="s">
        <x:v>952</x:v>
      </x:c>
      <x:c r="K131" s="28" t="s">
        <x:v>25</x:v>
      </x:c>
      <x:c r="L131" s="28" t="s">
        <x:v>25</x:v>
      </x:c>
      <x:c r="M131" s="28" t="s">
        <x:v>26</x:v>
      </x:c>
      <x:c r="N131" s="28" t="s">
        <x:v>39</x:v>
      </x:c>
      <x:c r="O131" s="28" t="s">
        <x:v>28</x:v>
      </x:c>
      <x:c r="P131" s="29" t="s">
        <x:v>29</x:v>
      </x:c>
    </x:row>
    <x:row r="132">
      <x:c r="A132" s="27">
        <x:v>1132</x:v>
      </x:c>
      <x:c r="B132" s="28" t="s">
        <x:v>953</x:v>
      </x:c>
      <x:c r="C132" s="28" t="s">
        <x:v>954</x:v>
      </x:c>
      <x:c r="D132" s="28" t="s">
        <x:v>62</x:v>
      </x:c>
      <x:c r="E132" s="28" t="s">
        <x:v>63</x:v>
      </x:c>
      <x:c r="F132" s="28" t="s">
        <x:v>955</x:v>
      </x:c>
      <x:c r="G132" s="28" t="s">
        <x:v>956</x:v>
      </x:c>
      <x:c r="H132" s="28" t="s">
        <x:v>957</x:v>
      </x:c>
      <x:c r="I132" s="28" t="s">
        <x:v>958</x:v>
      </x:c>
      <x:c r="J132" s="28" t="s">
        <x:v>959</x:v>
      </x:c>
      <x:c r="K132" s="28" t="s">
        <x:v>25</x:v>
      </x:c>
      <x:c r="L132" s="28" t="s">
        <x:v>25</x:v>
      </x:c>
      <x:c r="M132" s="28" t="s">
        <x:v>26</x:v>
      </x:c>
      <x:c r="N132" s="28" t="s">
        <x:v>49</x:v>
      </x:c>
      <x:c r="O132" s="28" t="s">
        <x:v>28</x:v>
      </x:c>
      <x:c r="P132" s="29" t="s">
        <x:v>29</x:v>
      </x:c>
    </x:row>
    <x:row r="133">
      <x:c r="A133" s="27">
        <x:v>1133</x:v>
      </x:c>
      <x:c r="B133" s="28" t="s">
        <x:v>960</x:v>
      </x:c>
      <x:c r="C133" s="28" t="s">
        <x:v>961</x:v>
      </x:c>
      <x:c r="D133" s="28" t="s">
        <x:v>71</x:v>
      </x:c>
      <x:c r="E133" s="28" t="s">
        <x:v>72</x:v>
      </x:c>
      <x:c r="F133" s="28" t="s">
        <x:v>962</x:v>
      </x:c>
      <x:c r="G133" s="28" t="s">
        <x:v>963</x:v>
      </x:c>
      <x:c r="H133" s="28" t="s">
        <x:v>964</x:v>
      </x:c>
      <x:c r="I133" s="28" t="s">
        <x:v>965</x:v>
      </x:c>
      <x:c r="J133" s="28" t="s">
        <x:v>966</x:v>
      </x:c>
      <x:c r="K133" s="28" t="s">
        <x:v>25</x:v>
      </x:c>
      <x:c r="L133" s="28" t="s">
        <x:v>25</x:v>
      </x:c>
      <x:c r="M133" s="28" t="s">
        <x:v>26</x:v>
      </x:c>
      <x:c r="N133" s="28" t="s">
        <x:v>59</x:v>
      </x:c>
      <x:c r="O133" s="28" t="s">
        <x:v>28</x:v>
      </x:c>
      <x:c r="P133" s="29" t="s">
        <x:v>29</x:v>
      </x:c>
    </x:row>
    <x:row r="134">
      <x:c r="A134" s="27">
        <x:v>1134</x:v>
      </x:c>
      <x:c r="B134" s="28" t="s">
        <x:v>967</x:v>
      </x:c>
      <x:c r="C134" s="28" t="s">
        <x:v>968</x:v>
      </x:c>
      <x:c r="D134" s="28" t="s">
        <x:v>80</x:v>
      </x:c>
      <x:c r="E134" s="28" t="s">
        <x:v>19</x:v>
      </x:c>
      <x:c r="F134" s="28" t="s">
        <x:v>969</x:v>
      </x:c>
      <x:c r="G134" s="28" t="s">
        <x:v>970</x:v>
      </x:c>
      <x:c r="H134" s="28" t="s">
        <x:v>971</x:v>
      </x:c>
      <x:c r="I134" s="28" t="s">
        <x:v>972</x:v>
      </x:c>
      <x:c r="J134" s="28" t="s">
        <x:v>973</x:v>
      </x:c>
      <x:c r="K134" s="28" t="s">
        <x:v>25</x:v>
      </x:c>
      <x:c r="L134" s="28" t="s">
        <x:v>25</x:v>
      </x:c>
      <x:c r="M134" s="28" t="s">
        <x:v>26</x:v>
      </x:c>
      <x:c r="N134" s="28" t="s">
        <x:v>27</x:v>
      </x:c>
      <x:c r="O134" s="28" t="s">
        <x:v>28</x:v>
      </x:c>
      <x:c r="P134" s="29" t="s">
        <x:v>29</x:v>
      </x:c>
    </x:row>
    <x:row r="135">
      <x:c r="A135" s="27">
        <x:v>1135</x:v>
      </x:c>
      <x:c r="B135" s="28" t="s">
        <x:v>974</x:v>
      </x:c>
      <x:c r="C135" s="28" t="s">
        <x:v>975</x:v>
      </x:c>
      <x:c r="D135" s="28" t="s">
        <x:v>88</x:v>
      </x:c>
      <x:c r="E135" s="28" t="s">
        <x:v>33</x:v>
      </x:c>
      <x:c r="F135" s="28" t="s">
        <x:v>976</x:v>
      </x:c>
      <x:c r="G135" s="28" t="s">
        <x:v>977</x:v>
      </x:c>
      <x:c r="H135" s="28" t="s">
        <x:v>978</x:v>
      </x:c>
      <x:c r="I135" s="28" t="s">
        <x:v>979</x:v>
      </x:c>
      <x:c r="J135" s="28" t="s">
        <x:v>980</x:v>
      </x:c>
      <x:c r="K135" s="28" t="s">
        <x:v>25</x:v>
      </x:c>
      <x:c r="L135" s="28" t="s">
        <x:v>25</x:v>
      </x:c>
      <x:c r="M135" s="28" t="s">
        <x:v>26</x:v>
      </x:c>
      <x:c r="N135" s="28" t="s">
        <x:v>39</x:v>
      </x:c>
      <x:c r="O135" s="28" t="s">
        <x:v>28</x:v>
      </x:c>
      <x:c r="P135" s="29" t="s">
        <x:v>29</x:v>
      </x:c>
    </x:row>
    <x:row r="136">
      <x:c r="A136" s="27">
        <x:v>1136</x:v>
      </x:c>
      <x:c r="B136" s="28" t="s">
        <x:v>981</x:v>
      </x:c>
      <x:c r="C136" s="28" t="s">
        <x:v>982</x:v>
      </x:c>
      <x:c r="D136" s="28" t="s">
        <x:v>96</x:v>
      </x:c>
      <x:c r="E136" s="28" t="s">
        <x:v>43</x:v>
      </x:c>
      <x:c r="F136" s="28" t="s">
        <x:v>983</x:v>
      </x:c>
      <x:c r="G136" s="28" t="s">
        <x:v>984</x:v>
      </x:c>
      <x:c r="H136" s="28" t="s">
        <x:v>985</x:v>
      </x:c>
      <x:c r="I136" s="28" t="s">
        <x:v>986</x:v>
      </x:c>
      <x:c r="J136" s="28" t="s">
        <x:v>987</x:v>
      </x:c>
      <x:c r="K136" s="28" t="s">
        <x:v>25</x:v>
      </x:c>
      <x:c r="L136" s="28" t="s">
        <x:v>25</x:v>
      </x:c>
      <x:c r="M136" s="28" t="s">
        <x:v>26</x:v>
      </x:c>
      <x:c r="N136" s="28" t="s">
        <x:v>49</x:v>
      </x:c>
      <x:c r="O136" s="28" t="s">
        <x:v>28</x:v>
      </x:c>
      <x:c r="P136" s="29" t="s">
        <x:v>29</x:v>
      </x:c>
    </x:row>
    <x:row r="137">
      <x:c r="A137" s="27">
        <x:v>1137</x:v>
      </x:c>
      <x:c r="B137" s="28" t="s">
        <x:v>988</x:v>
      </x:c>
      <x:c r="C137" s="28" t="s">
        <x:v>989</x:v>
      </x:c>
      <x:c r="D137" s="28" t="s">
        <x:v>104</x:v>
      </x:c>
      <x:c r="E137" s="28" t="s">
        <x:v>53</x:v>
      </x:c>
      <x:c r="F137" s="28" t="s">
        <x:v>990</x:v>
      </x:c>
      <x:c r="G137" s="28" t="s">
        <x:v>991</x:v>
      </x:c>
      <x:c r="H137" s="28" t="s">
        <x:v>992</x:v>
      </x:c>
      <x:c r="I137" s="28" t="s">
        <x:v>993</x:v>
      </x:c>
      <x:c r="J137" s="28" t="s">
        <x:v>994</x:v>
      </x:c>
      <x:c r="K137" s="28" t="s">
        <x:v>25</x:v>
      </x:c>
      <x:c r="L137" s="28" t="s">
        <x:v>25</x:v>
      </x:c>
      <x:c r="M137" s="28" t="s">
        <x:v>26</x:v>
      </x:c>
      <x:c r="N137" s="28" t="s">
        <x:v>59</x:v>
      </x:c>
      <x:c r="O137" s="28" t="s">
        <x:v>28</x:v>
      </x:c>
      <x:c r="P137" s="29" t="s">
        <x:v>29</x:v>
      </x:c>
    </x:row>
    <x:row r="138">
      <x:c r="A138" s="27">
        <x:v>1138</x:v>
      </x:c>
      <x:c r="B138" s="28" t="s">
        <x:v>995</x:v>
      </x:c>
      <x:c r="C138" s="28" t="s">
        <x:v>996</x:v>
      </x:c>
      <x:c r="D138" s="28" t="s">
        <x:v>112</x:v>
      </x:c>
      <x:c r="E138" s="28" t="s">
        <x:v>63</x:v>
      </x:c>
      <x:c r="F138" s="28" t="s">
        <x:v>997</x:v>
      </x:c>
      <x:c r="G138" s="28" t="s">
        <x:v>998</x:v>
      </x:c>
      <x:c r="H138" s="28" t="s">
        <x:v>999</x:v>
      </x:c>
      <x:c r="I138" s="28" t="s">
        <x:v>1000</x:v>
      </x:c>
      <x:c r="J138" s="28" t="s">
        <x:v>1001</x:v>
      </x:c>
      <x:c r="K138" s="28" t="s">
        <x:v>25</x:v>
      </x:c>
      <x:c r="L138" s="28" t="s">
        <x:v>25</x:v>
      </x:c>
      <x:c r="M138" s="28" t="s">
        <x:v>26</x:v>
      </x:c>
      <x:c r="N138" s="28" t="s">
        <x:v>27</x:v>
      </x:c>
      <x:c r="O138" s="28" t="s">
        <x:v>28</x:v>
      </x:c>
      <x:c r="P138" s="29" t="s">
        <x:v>29</x:v>
      </x:c>
    </x:row>
    <x:row r="139">
      <x:c r="A139" s="27">
        <x:v>1139</x:v>
      </x:c>
      <x:c r="B139" s="28" t="s">
        <x:v>1002</x:v>
      </x:c>
      <x:c r="C139" s="28" t="s">
        <x:v>1003</x:v>
      </x:c>
      <x:c r="D139" s="28" t="s">
        <x:v>120</x:v>
      </x:c>
      <x:c r="E139" s="28" t="s">
        <x:v>72</x:v>
      </x:c>
      <x:c r="F139" s="28" t="s">
        <x:v>1004</x:v>
      </x:c>
      <x:c r="G139" s="28" t="s">
        <x:v>1005</x:v>
      </x:c>
      <x:c r="H139" s="28" t="s">
        <x:v>1006</x:v>
      </x:c>
      <x:c r="I139" s="28" t="s">
        <x:v>1007</x:v>
      </x:c>
      <x:c r="J139" s="28" t="s">
        <x:v>1008</x:v>
      </x:c>
      <x:c r="K139" s="28" t="s">
        <x:v>25</x:v>
      </x:c>
      <x:c r="L139" s="28" t="s">
        <x:v>25</x:v>
      </x:c>
      <x:c r="M139" s="28" t="s">
        <x:v>26</x:v>
      </x:c>
      <x:c r="N139" s="28" t="s">
        <x:v>39</x:v>
      </x:c>
      <x:c r="O139" s="28" t="s">
        <x:v>28</x:v>
      </x:c>
      <x:c r="P139" s="29" t="s">
        <x:v>29</x:v>
      </x:c>
    </x:row>
    <x:row r="140">
      <x:c r="A140" s="27">
        <x:v>1140</x:v>
      </x:c>
      <x:c r="B140" s="28" t="s">
        <x:v>1009</x:v>
      </x:c>
      <x:c r="C140" s="28" t="s">
        <x:v>1010</x:v>
      </x:c>
      <x:c r="D140" s="28" t="s">
        <x:v>128</x:v>
      </x:c>
      <x:c r="E140" s="28" t="s">
        <x:v>19</x:v>
      </x:c>
      <x:c r="F140" s="28" t="s">
        <x:v>1011</x:v>
      </x:c>
      <x:c r="G140" s="28" t="s">
        <x:v>1012</x:v>
      </x:c>
      <x:c r="H140" s="28" t="s">
        <x:v>1013</x:v>
      </x:c>
      <x:c r="I140" s="28" t="s">
        <x:v>1014</x:v>
      </x:c>
      <x:c r="J140" s="28" t="s">
        <x:v>1015</x:v>
      </x:c>
      <x:c r="K140" s="28" t="s">
        <x:v>25</x:v>
      </x:c>
      <x:c r="L140" s="28" t="s">
        <x:v>25</x:v>
      </x:c>
      <x:c r="M140" s="28" t="s">
        <x:v>26</x:v>
      </x:c>
      <x:c r="N140" s="28" t="s">
        <x:v>49</x:v>
      </x:c>
      <x:c r="O140" s="28" t="s">
        <x:v>28</x:v>
      </x:c>
      <x:c r="P140" s="29" t="s">
        <x:v>29</x:v>
      </x:c>
    </x:row>
    <x:row r="141">
      <x:c r="A141" s="27">
        <x:v>1141</x:v>
      </x:c>
      <x:c r="B141" s="28" t="s">
        <x:v>1016</x:v>
      </x:c>
      <x:c r="C141" s="28" t="s">
        <x:v>1017</x:v>
      </x:c>
      <x:c r="D141" s="28" t="s">
        <x:v>136</x:v>
      </x:c>
      <x:c r="E141" s="28" t="s">
        <x:v>33</x:v>
      </x:c>
      <x:c r="F141" s="28" t="s">
        <x:v>1018</x:v>
      </x:c>
      <x:c r="G141" s="28" t="s">
        <x:v>1019</x:v>
      </x:c>
      <x:c r="H141" s="28" t="s">
        <x:v>1020</x:v>
      </x:c>
      <x:c r="I141" s="28" t="s">
        <x:v>1021</x:v>
      </x:c>
      <x:c r="J141" s="28" t="s">
        <x:v>1022</x:v>
      </x:c>
      <x:c r="K141" s="28" t="s">
        <x:v>25</x:v>
      </x:c>
      <x:c r="L141" s="28" t="s">
        <x:v>25</x:v>
      </x:c>
      <x:c r="M141" s="28" t="s">
        <x:v>26</x:v>
      </x:c>
      <x:c r="N141" s="28" t="s">
        <x:v>59</x:v>
      </x:c>
      <x:c r="O141" s="28" t="s">
        <x:v>28</x:v>
      </x:c>
      <x:c r="P141" s="29" t="s">
        <x:v>29</x:v>
      </x:c>
    </x:row>
    <x:row r="142">
      <x:c r="A142" s="27">
        <x:v>1142</x:v>
      </x:c>
      <x:c r="B142" s="28" t="s">
        <x:v>1023</x:v>
      </x:c>
      <x:c r="C142" s="28" t="s">
        <x:v>1024</x:v>
      </x:c>
      <x:c r="D142" s="28" t="s">
        <x:v>18</x:v>
      </x:c>
      <x:c r="E142" s="28" t="s">
        <x:v>43</x:v>
      </x:c>
      <x:c r="F142" s="28" t="s">
        <x:v>1025</x:v>
      </x:c>
      <x:c r="G142" s="28" t="s">
        <x:v>1026</x:v>
      </x:c>
      <x:c r="H142" s="28" t="s">
        <x:v>1027</x:v>
      </x:c>
      <x:c r="I142" s="28" t="s">
        <x:v>1028</x:v>
      </x:c>
      <x:c r="J142" s="28" t="s">
        <x:v>1029</x:v>
      </x:c>
      <x:c r="K142" s="28" t="s">
        <x:v>25</x:v>
      </x:c>
      <x:c r="L142" s="28" t="s">
        <x:v>25</x:v>
      </x:c>
      <x:c r="M142" s="28" t="s">
        <x:v>26</x:v>
      </x:c>
      <x:c r="N142" s="28" t="s">
        <x:v>27</x:v>
      </x:c>
      <x:c r="O142" s="28" t="s">
        <x:v>28</x:v>
      </x:c>
      <x:c r="P142" s="29" t="s">
        <x:v>29</x:v>
      </x:c>
    </x:row>
    <x:row r="143">
      <x:c r="A143" s="27">
        <x:v>1143</x:v>
      </x:c>
      <x:c r="B143" s="28" t="s">
        <x:v>1030</x:v>
      </x:c>
      <x:c r="C143" s="28" t="s">
        <x:v>1031</x:v>
      </x:c>
      <x:c r="D143" s="28" t="s">
        <x:v>32</x:v>
      </x:c>
      <x:c r="E143" s="28" t="s">
        <x:v>53</x:v>
      </x:c>
      <x:c r="F143" s="28" t="s">
        <x:v>1032</x:v>
      </x:c>
      <x:c r="G143" s="28" t="s">
        <x:v>1033</x:v>
      </x:c>
      <x:c r="H143" s="28" t="s">
        <x:v>1034</x:v>
      </x:c>
      <x:c r="I143" s="28" t="s">
        <x:v>1035</x:v>
      </x:c>
      <x:c r="J143" s="28" t="s">
        <x:v>1036</x:v>
      </x:c>
      <x:c r="K143" s="28" t="s">
        <x:v>25</x:v>
      </x:c>
      <x:c r="L143" s="28" t="s">
        <x:v>25</x:v>
      </x:c>
      <x:c r="M143" s="28" t="s">
        <x:v>26</x:v>
      </x:c>
      <x:c r="N143" s="28" t="s">
        <x:v>39</x:v>
      </x:c>
      <x:c r="O143" s="28" t="s">
        <x:v>28</x:v>
      </x:c>
      <x:c r="P143" s="29" t="s">
        <x:v>29</x:v>
      </x:c>
    </x:row>
    <x:row r="144">
      <x:c r="A144" s="27">
        <x:v>1144</x:v>
      </x:c>
      <x:c r="B144" s="28" t="s">
        <x:v>1037</x:v>
      </x:c>
      <x:c r="C144" s="28" t="s">
        <x:v>1038</x:v>
      </x:c>
      <x:c r="D144" s="28" t="s">
        <x:v>42</x:v>
      </x:c>
      <x:c r="E144" s="28" t="s">
        <x:v>63</x:v>
      </x:c>
      <x:c r="F144" s="28" t="s">
        <x:v>1039</x:v>
      </x:c>
      <x:c r="G144" s="28" t="s">
        <x:v>1040</x:v>
      </x:c>
      <x:c r="H144" s="28" t="s">
        <x:v>1041</x:v>
      </x:c>
      <x:c r="I144" s="28" t="s">
        <x:v>1042</x:v>
      </x:c>
      <x:c r="J144" s="28" t="s">
        <x:v>1043</x:v>
      </x:c>
      <x:c r="K144" s="28" t="s">
        <x:v>25</x:v>
      </x:c>
      <x:c r="L144" s="28" t="s">
        <x:v>25</x:v>
      </x:c>
      <x:c r="M144" s="28" t="s">
        <x:v>26</x:v>
      </x:c>
      <x:c r="N144" s="28" t="s">
        <x:v>49</x:v>
      </x:c>
      <x:c r="O144" s="28" t="s">
        <x:v>28</x:v>
      </x:c>
      <x:c r="P144" s="29" t="s">
        <x:v>29</x:v>
      </x:c>
    </x:row>
    <x:row r="145">
      <x:c r="A145" s="27">
        <x:v>1145</x:v>
      </x:c>
      <x:c r="B145" s="28" t="s">
        <x:v>1044</x:v>
      </x:c>
      <x:c r="C145" s="28" t="s">
        <x:v>1045</x:v>
      </x:c>
      <x:c r="D145" s="28" t="s">
        <x:v>52</x:v>
      </x:c>
      <x:c r="E145" s="28" t="s">
        <x:v>72</x:v>
      </x:c>
      <x:c r="F145" s="28"/>
      <x:c r="G145" s="28" t="s">
        <x:v>1046</x:v>
      </x:c>
      <x:c r="H145" s="28" t="s">
        <x:v>1047</x:v>
      </x:c>
      <x:c r="I145" s="28" t="s">
        <x:v>1048</x:v>
      </x:c>
      <x:c r="J145" s="28" t="s">
        <x:v>1049</x:v>
      </x:c>
      <x:c r="K145" s="28" t="s">
        <x:v>25</x:v>
      </x:c>
      <x:c r="L145" s="28" t="s">
        <x:v>239</x:v>
      </x:c>
      <x:c r="M145" s="28" t="s">
        <x:v>240</x:v>
      </x:c>
      <x:c r="N145" s="28" t="s">
        <x:v>59</x:v>
      </x:c>
      <x:c r="O145" s="28" t="s">
        <x:v>241</x:v>
      </x:c>
      <x:c r="P145" s="29" t="s">
        <x:v>241</x:v>
      </x:c>
    </x:row>
    <x:row r="146">
      <x:c r="A146" s="27">
        <x:v>1146</x:v>
      </x:c>
      <x:c r="B146" s="28" t="s">
        <x:v>1050</x:v>
      </x:c>
      <x:c r="C146" s="28" t="s">
        <x:v>1051</x:v>
      </x:c>
      <x:c r="D146" s="28" t="s">
        <x:v>62</x:v>
      </x:c>
      <x:c r="E146" s="28" t="s">
        <x:v>19</x:v>
      </x:c>
      <x:c r="F146" s="28" t="s">
        <x:v>1052</x:v>
      </x:c>
      <x:c r="G146" s="28" t="s">
        <x:v>1053</x:v>
      </x:c>
      <x:c r="H146" s="28" t="s">
        <x:v>1054</x:v>
      </x:c>
      <x:c r="I146" s="28" t="s">
        <x:v>1055</x:v>
      </x:c>
      <x:c r="J146" s="28" t="s">
        <x:v>1056</x:v>
      </x:c>
      <x:c r="K146" s="28" t="s">
        <x:v>25</x:v>
      </x:c>
      <x:c r="L146" s="28" t="s">
        <x:v>25</x:v>
      </x:c>
      <x:c r="M146" s="28" t="s">
        <x:v>26</x:v>
      </x:c>
      <x:c r="N146" s="28" t="s">
        <x:v>27</x:v>
      </x:c>
      <x:c r="O146" s="28" t="s">
        <x:v>28</x:v>
      </x:c>
      <x:c r="P146" s="29" t="s">
        <x:v>29</x:v>
      </x:c>
    </x:row>
    <x:row r="147">
      <x:c r="A147" s="27">
        <x:v>1147</x:v>
      </x:c>
      <x:c r="B147" s="28" t="s">
        <x:v>1057</x:v>
      </x:c>
      <x:c r="C147" s="28" t="s">
        <x:v>1058</x:v>
      </x:c>
      <x:c r="D147" s="28" t="s">
        <x:v>71</x:v>
      </x:c>
      <x:c r="E147" s="28" t="s">
        <x:v>33</x:v>
      </x:c>
      <x:c r="F147" s="28" t="s">
        <x:v>1059</x:v>
      </x:c>
      <x:c r="G147" s="28" t="s">
        <x:v>1060</x:v>
      </x:c>
      <x:c r="H147" s="28" t="s">
        <x:v>1061</x:v>
      </x:c>
      <x:c r="I147" s="28" t="s">
        <x:v>1062</x:v>
      </x:c>
      <x:c r="J147" s="28" t="s">
        <x:v>1063</x:v>
      </x:c>
      <x:c r="K147" s="28" t="s">
        <x:v>25</x:v>
      </x:c>
      <x:c r="L147" s="28" t="s">
        <x:v>25</x:v>
      </x:c>
      <x:c r="M147" s="28" t="s">
        <x:v>26</x:v>
      </x:c>
      <x:c r="N147" s="28" t="s">
        <x:v>39</x:v>
      </x:c>
      <x:c r="O147" s="28" t="s">
        <x:v>28</x:v>
      </x:c>
      <x:c r="P147" s="29" t="s">
        <x:v>29</x:v>
      </x:c>
    </x:row>
    <x:row r="148">
      <x:c r="A148" s="27">
        <x:v>1148</x:v>
      </x:c>
      <x:c r="B148" s="28" t="s">
        <x:v>1064</x:v>
      </x:c>
      <x:c r="C148" s="28" t="s">
        <x:v>1065</x:v>
      </x:c>
      <x:c r="D148" s="28" t="s">
        <x:v>80</x:v>
      </x:c>
      <x:c r="E148" s="28" t="s">
        <x:v>43</x:v>
      </x:c>
      <x:c r="F148" s="28" t="s">
        <x:v>1066</x:v>
      </x:c>
      <x:c r="G148" s="28" t="s">
        <x:v>1067</x:v>
      </x:c>
      <x:c r="H148" s="28" t="s">
        <x:v>1068</x:v>
      </x:c>
      <x:c r="I148" s="28" t="s">
        <x:v>1069</x:v>
      </x:c>
      <x:c r="J148" s="28" t="s">
        <x:v>1070</x:v>
      </x:c>
      <x:c r="K148" s="28" t="s">
        <x:v>239</x:v>
      </x:c>
      <x:c r="L148" s="28" t="s">
        <x:v>25</x:v>
      </x:c>
      <x:c r="M148" s="28" t="s">
        <x:v>240</x:v>
      </x:c>
      <x:c r="N148" s="28" t="s">
        <x:v>49</x:v>
      </x:c>
      <x:c r="O148" s="28" t="s">
        <x:v>241</x:v>
      </x:c>
      <x:c r="P148" s="29" t="s">
        <x:v>241</x:v>
      </x:c>
    </x:row>
    <x:row r="149">
      <x:c r="A149" s="27">
        <x:v>1149</x:v>
      </x:c>
      <x:c r="B149" s="28" t="s">
        <x:v>1071</x:v>
      </x:c>
      <x:c r="C149" s="28" t="s">
        <x:v>1072</x:v>
      </x:c>
      <x:c r="D149" s="28" t="s">
        <x:v>88</x:v>
      </x:c>
      <x:c r="E149" s="28" t="s">
        <x:v>53</x:v>
      </x:c>
      <x:c r="F149" s="28" t="s">
        <x:v>1073</x:v>
      </x:c>
      <x:c r="G149" s="28" t="s">
        <x:v>1074</x:v>
      </x:c>
      <x:c r="H149" s="28" t="s">
        <x:v>1075</x:v>
      </x:c>
      <x:c r="I149" s="28" t="s">
        <x:v>1076</x:v>
      </x:c>
      <x:c r="J149" s="28" t="s">
        <x:v>1077</x:v>
      </x:c>
      <x:c r="K149" s="28" t="s">
        <x:v>25</x:v>
      </x:c>
      <x:c r="L149" s="28" t="s">
        <x:v>25</x:v>
      </x:c>
      <x:c r="M149" s="28" t="s">
        <x:v>26</x:v>
      </x:c>
      <x:c r="N149" s="28" t="s">
        <x:v>59</x:v>
      </x:c>
      <x:c r="O149" s="28" t="s">
        <x:v>28</x:v>
      </x:c>
      <x:c r="P149" s="29" t="s">
        <x:v>29</x:v>
      </x:c>
    </x:row>
    <x:row r="150">
      <x:c r="A150" s="27">
        <x:v>1150</x:v>
      </x:c>
      <x:c r="B150" s="28" t="s">
        <x:v>1078</x:v>
      </x:c>
      <x:c r="C150" s="28" t="s">
        <x:v>1079</x:v>
      </x:c>
      <x:c r="D150" s="28" t="s">
        <x:v>96</x:v>
      </x:c>
      <x:c r="E150" s="28" t="s">
        <x:v>63</x:v>
      </x:c>
      <x:c r="F150" s="28" t="s">
        <x:v>1080</x:v>
      </x:c>
      <x:c r="G150" s="28" t="s">
        <x:v>1081</x:v>
      </x:c>
      <x:c r="H150" s="28" t="s">
        <x:v>1082</x:v>
      </x:c>
      <x:c r="I150" s="28" t="s">
        <x:v>1083</x:v>
      </x:c>
      <x:c r="J150" s="28" t="s">
        <x:v>1084</x:v>
      </x:c>
      <x:c r="K150" s="28" t="s">
        <x:v>25</x:v>
      </x:c>
      <x:c r="L150" s="28" t="s">
        <x:v>25</x:v>
      </x:c>
      <x:c r="M150" s="28" t="s">
        <x:v>26</x:v>
      </x:c>
      <x:c r="N150" s="28" t="s">
        <x:v>27</x:v>
      </x:c>
      <x:c r="O150" s="28" t="s">
        <x:v>28</x:v>
      </x:c>
      <x:c r="P150" s="29" t="s">
        <x:v>29</x:v>
      </x:c>
    </x:row>
    <x:row r="151">
      <x:c r="A151" s="27">
        <x:v>1151</x:v>
      </x:c>
      <x:c r="B151" s="28" t="s">
        <x:v>1085</x:v>
      </x:c>
      <x:c r="C151" s="28" t="s">
        <x:v>1086</x:v>
      </x:c>
      <x:c r="D151" s="28" t="s">
        <x:v>104</x:v>
      </x:c>
      <x:c r="E151" s="28" t="s">
        <x:v>72</x:v>
      </x:c>
      <x:c r="F151" s="28" t="s">
        <x:v>1087</x:v>
      </x:c>
      <x:c r="G151" s="28" t="s">
        <x:v>1088</x:v>
      </x:c>
      <x:c r="H151" s="28" t="s">
        <x:v>1089</x:v>
      </x:c>
      <x:c r="I151" s="28" t="s">
        <x:v>1090</x:v>
      </x:c>
      <x:c r="J151" s="28" t="s">
        <x:v>1091</x:v>
      </x:c>
      <x:c r="K151" s="28" t="s">
        <x:v>25</x:v>
      </x:c>
      <x:c r="L151" s="28" t="s">
        <x:v>25</x:v>
      </x:c>
      <x:c r="M151" s="28" t="s">
        <x:v>26</x:v>
      </x:c>
      <x:c r="N151" s="28" t="s">
        <x:v>39</x:v>
      </x:c>
      <x:c r="O151" s="28" t="s">
        <x:v>28</x:v>
      </x:c>
      <x:c r="P151" s="29" t="s">
        <x:v>29</x:v>
      </x:c>
    </x:row>
    <x:row r="152">
      <x:c r="A152" s="27">
        <x:v>1152</x:v>
      </x:c>
      <x:c r="B152" s="28" t="s">
        <x:v>1092</x:v>
      </x:c>
      <x:c r="C152" s="28" t="s">
        <x:v>1093</x:v>
      </x:c>
      <x:c r="D152" s="28" t="s">
        <x:v>112</x:v>
      </x:c>
      <x:c r="E152" s="28" t="s">
        <x:v>19</x:v>
      </x:c>
      <x:c r="F152" s="28" t="s">
        <x:v>1094</x:v>
      </x:c>
      <x:c r="G152" s="28" t="s">
        <x:v>1095</x:v>
      </x:c>
      <x:c r="H152" s="28" t="s">
        <x:v>1096</x:v>
      </x:c>
      <x:c r="I152" s="28" t="s">
        <x:v>1097</x:v>
      </x:c>
      <x:c r="J152" s="28" t="s">
        <x:v>1098</x:v>
      </x:c>
      <x:c r="K152" s="28" t="s">
        <x:v>25</x:v>
      </x:c>
      <x:c r="L152" s="28" t="s">
        <x:v>25</x:v>
      </x:c>
      <x:c r="M152" s="28" t="s">
        <x:v>26</x:v>
      </x:c>
      <x:c r="N152" s="28" t="s">
        <x:v>49</x:v>
      </x:c>
      <x:c r="O152" s="28" t="s">
        <x:v>28</x:v>
      </x:c>
      <x:c r="P152" s="29" t="s">
        <x:v>29</x:v>
      </x:c>
    </x:row>
    <x:row r="153">
      <x:c r="A153" s="27">
        <x:v>1153</x:v>
      </x:c>
      <x:c r="B153" s="28" t="s">
        <x:v>1099</x:v>
      </x:c>
      <x:c r="C153" s="28" t="s">
        <x:v>1100</x:v>
      </x:c>
      <x:c r="D153" s="28" t="s">
        <x:v>120</x:v>
      </x:c>
      <x:c r="E153" s="28" t="s">
        <x:v>33</x:v>
      </x:c>
      <x:c r="F153" s="28" t="s">
        <x:v>1101</x:v>
      </x:c>
      <x:c r="G153" s="28" t="s">
        <x:v>1102</x:v>
      </x:c>
      <x:c r="H153" s="28" t="s">
        <x:v>1103</x:v>
      </x:c>
      <x:c r="I153" s="28" t="s">
        <x:v>1104</x:v>
      </x:c>
      <x:c r="J153" s="28" t="s">
        <x:v>1105</x:v>
      </x:c>
      <x:c r="K153" s="28" t="s">
        <x:v>25</x:v>
      </x:c>
      <x:c r="L153" s="28" t="s">
        <x:v>25</x:v>
      </x:c>
      <x:c r="M153" s="28" t="s">
        <x:v>26</x:v>
      </x:c>
      <x:c r="N153" s="28" t="s">
        <x:v>59</x:v>
      </x:c>
      <x:c r="O153" s="28" t="s">
        <x:v>28</x:v>
      </x:c>
      <x:c r="P153" s="29" t="s">
        <x:v>29</x:v>
      </x:c>
    </x:row>
    <x:row r="154">
      <x:c r="A154" s="27">
        <x:v>1154</x:v>
      </x:c>
      <x:c r="B154" s="28" t="s">
        <x:v>1106</x:v>
      </x:c>
      <x:c r="C154" s="28" t="s">
        <x:v>1107</x:v>
      </x:c>
      <x:c r="D154" s="28" t="s">
        <x:v>128</x:v>
      </x:c>
      <x:c r="E154" s="28" t="s">
        <x:v>43</x:v>
      </x:c>
      <x:c r="F154" s="28" t="s">
        <x:v>1108</x:v>
      </x:c>
      <x:c r="G154" s="28" t="s">
        <x:v>1109</x:v>
      </x:c>
      <x:c r="H154" s="28" t="s">
        <x:v>1110</x:v>
      </x:c>
      <x:c r="I154" s="28" t="s">
        <x:v>1111</x:v>
      </x:c>
      <x:c r="J154" s="28" t="s">
        <x:v>1112</x:v>
      </x:c>
      <x:c r="K154" s="28" t="s">
        <x:v>25</x:v>
      </x:c>
      <x:c r="L154" s="28" t="s">
        <x:v>25</x:v>
      </x:c>
      <x:c r="M154" s="28" t="s">
        <x:v>26</x:v>
      </x:c>
      <x:c r="N154" s="28" t="s">
        <x:v>27</x:v>
      </x:c>
      <x:c r="O154" s="28" t="s">
        <x:v>28</x:v>
      </x:c>
      <x:c r="P154" s="29" t="s">
        <x:v>29</x:v>
      </x:c>
    </x:row>
    <x:row r="155">
      <x:c r="A155" s="27">
        <x:v>1155</x:v>
      </x:c>
      <x:c r="B155" s="28" t="s">
        <x:v>1113</x:v>
      </x:c>
      <x:c r="C155" s="28" t="s">
        <x:v>1114</x:v>
      </x:c>
      <x:c r="D155" s="28" t="s">
        <x:v>136</x:v>
      </x:c>
      <x:c r="E155" s="28" t="s">
        <x:v>53</x:v>
      </x:c>
      <x:c r="F155" s="28" t="s">
        <x:v>1115</x:v>
      </x:c>
      <x:c r="G155" s="28" t="s">
        <x:v>1116</x:v>
      </x:c>
      <x:c r="H155" s="28" t="s">
        <x:v>1117</x:v>
      </x:c>
      <x:c r="I155" s="28" t="s">
        <x:v>1118</x:v>
      </x:c>
      <x:c r="J155" s="28" t="s">
        <x:v>1119</x:v>
      </x:c>
      <x:c r="K155" s="28" t="s">
        <x:v>25</x:v>
      </x:c>
      <x:c r="L155" s="28" t="s">
        <x:v>25</x:v>
      </x:c>
      <x:c r="M155" s="28" t="s">
        <x:v>26</x:v>
      </x:c>
      <x:c r="N155" s="28" t="s">
        <x:v>39</x:v>
      </x:c>
      <x:c r="O155" s="28" t="s">
        <x:v>28</x:v>
      </x:c>
      <x:c r="P155" s="29" t="s">
        <x:v>29</x:v>
      </x:c>
    </x:row>
    <x:row r="156">
      <x:c r="A156" s="27">
        <x:v>1156</x:v>
      </x:c>
      <x:c r="B156" s="28" t="s">
        <x:v>1120</x:v>
      </x:c>
      <x:c r="C156" s="28" t="s">
        <x:v>1121</x:v>
      </x:c>
      <x:c r="D156" s="28" t="s">
        <x:v>18</x:v>
      </x:c>
      <x:c r="E156" s="28" t="s">
        <x:v>63</x:v>
      </x:c>
      <x:c r="F156" s="28" t="s">
        <x:v>1122</x:v>
      </x:c>
      <x:c r="G156" s="28" t="s">
        <x:v>1123</x:v>
      </x:c>
      <x:c r="H156" s="28" t="s">
        <x:v>1124</x:v>
      </x:c>
      <x:c r="I156" s="28" t="s">
        <x:v>1125</x:v>
      </x:c>
      <x:c r="J156" s="28" t="s">
        <x:v>1126</x:v>
      </x:c>
      <x:c r="K156" s="28" t="s">
        <x:v>25</x:v>
      </x:c>
      <x:c r="L156" s="28" t="s">
        <x:v>25</x:v>
      </x:c>
      <x:c r="M156" s="28" t="s">
        <x:v>26</x:v>
      </x:c>
      <x:c r="N156" s="28" t="s">
        <x:v>49</x:v>
      </x:c>
      <x:c r="O156" s="28" t="s">
        <x:v>28</x:v>
      </x:c>
      <x:c r="P156" s="29" t="s">
        <x:v>29</x:v>
      </x:c>
    </x:row>
    <x:row r="157">
      <x:c r="A157" s="27">
        <x:v>1157</x:v>
      </x:c>
      <x:c r="B157" s="28" t="s">
        <x:v>1127</x:v>
      </x:c>
      <x:c r="C157" s="28" t="s">
        <x:v>1128</x:v>
      </x:c>
      <x:c r="D157" s="28" t="s">
        <x:v>32</x:v>
      </x:c>
      <x:c r="E157" s="28" t="s">
        <x:v>72</x:v>
      </x:c>
      <x:c r="F157" s="28" t="s">
        <x:v>1129</x:v>
      </x:c>
      <x:c r="G157" s="28" t="s">
        <x:v>1130</x:v>
      </x:c>
      <x:c r="H157" s="28" t="s">
        <x:v>1131</x:v>
      </x:c>
      <x:c r="I157" s="28" t="s">
        <x:v>1132</x:v>
      </x:c>
      <x:c r="J157" s="28" t="s">
        <x:v>1133</x:v>
      </x:c>
      <x:c r="K157" s="28" t="s">
        <x:v>25</x:v>
      </x:c>
      <x:c r="L157" s="28" t="s">
        <x:v>25</x:v>
      </x:c>
      <x:c r="M157" s="28" t="s">
        <x:v>26</x:v>
      </x:c>
      <x:c r="N157" s="28" t="s">
        <x:v>59</x:v>
      </x:c>
      <x:c r="O157" s="28" t="s">
        <x:v>28</x:v>
      </x:c>
      <x:c r="P157" s="29" t="s">
        <x:v>29</x:v>
      </x:c>
    </x:row>
    <x:row r="158">
      <x:c r="A158" s="27">
        <x:v>1158</x:v>
      </x:c>
      <x:c r="B158" s="28" t="s">
        <x:v>1134</x:v>
      </x:c>
      <x:c r="C158" s="28" t="s">
        <x:v>1135</x:v>
      </x:c>
      <x:c r="D158" s="28" t="s">
        <x:v>42</x:v>
      </x:c>
      <x:c r="E158" s="28" t="s">
        <x:v>19</x:v>
      </x:c>
      <x:c r="F158" s="28" t="s">
        <x:v>1136</x:v>
      </x:c>
      <x:c r="G158" s="28" t="s">
        <x:v>1137</x:v>
      </x:c>
      <x:c r="H158" s="28" t="s">
        <x:v>1138</x:v>
      </x:c>
      <x:c r="I158" s="28" t="s">
        <x:v>1139</x:v>
      </x:c>
      <x:c r="J158" s="28" t="s">
        <x:v>1140</x:v>
      </x:c>
      <x:c r="K158" s="28" t="s">
        <x:v>25</x:v>
      </x:c>
      <x:c r="L158" s="28" t="s">
        <x:v>25</x:v>
      </x:c>
      <x:c r="M158" s="28" t="s">
        <x:v>26</x:v>
      </x:c>
      <x:c r="N158" s="28" t="s">
        <x:v>27</x:v>
      </x:c>
      <x:c r="O158" s="28" t="s">
        <x:v>28</x:v>
      </x:c>
      <x:c r="P158" s="29" t="s">
        <x:v>29</x:v>
      </x:c>
    </x:row>
    <x:row r="159">
      <x:c r="A159" s="27">
        <x:v>1159</x:v>
      </x:c>
      <x:c r="B159" s="28" t="s">
        <x:v>1141</x:v>
      </x:c>
      <x:c r="C159" s="28" t="s">
        <x:v>1142</x:v>
      </x:c>
      <x:c r="D159" s="28" t="s">
        <x:v>52</x:v>
      </x:c>
      <x:c r="E159" s="28" t="s">
        <x:v>33</x:v>
      </x:c>
      <x:c r="F159" s="28" t="s">
        <x:v>1143</x:v>
      </x:c>
      <x:c r="G159" s="28" t="s">
        <x:v>1144</x:v>
      </x:c>
      <x:c r="H159" s="28" t="s">
        <x:v>1145</x:v>
      </x:c>
      <x:c r="I159" s="28" t="s">
        <x:v>1146</x:v>
      </x:c>
      <x:c r="J159" s="28" t="s">
        <x:v>1147</x:v>
      </x:c>
      <x:c r="K159" s="28" t="s">
        <x:v>25</x:v>
      </x:c>
      <x:c r="L159" s="28" t="s">
        <x:v>25</x:v>
      </x:c>
      <x:c r="M159" s="28" t="s">
        <x:v>26</x:v>
      </x:c>
      <x:c r="N159" s="28" t="s">
        <x:v>39</x:v>
      </x:c>
      <x:c r="O159" s="28" t="s">
        <x:v>28</x:v>
      </x:c>
      <x:c r="P159" s="29" t="s">
        <x:v>29</x:v>
      </x:c>
    </x:row>
    <x:row r="160">
      <x:c r="A160" s="27">
        <x:v>1160</x:v>
      </x:c>
      <x:c r="B160" s="28" t="s">
        <x:v>1148</x:v>
      </x:c>
      <x:c r="C160" s="28" t="s">
        <x:v>1149</x:v>
      </x:c>
      <x:c r="D160" s="28" t="s">
        <x:v>62</x:v>
      </x:c>
      <x:c r="E160" s="28" t="s">
        <x:v>43</x:v>
      </x:c>
      <x:c r="F160" s="28" t="s">
        <x:v>1150</x:v>
      </x:c>
      <x:c r="G160" s="28" t="s">
        <x:v>1151</x:v>
      </x:c>
      <x:c r="H160" s="28" t="s">
        <x:v>1152</x:v>
      </x:c>
      <x:c r="I160" s="28" t="s">
        <x:v>1153</x:v>
      </x:c>
      <x:c r="J160" s="28" t="s">
        <x:v>1154</x:v>
      </x:c>
      <x:c r="K160" s="28" t="s">
        <x:v>25</x:v>
      </x:c>
      <x:c r="L160" s="28" t="s">
        <x:v>25</x:v>
      </x:c>
      <x:c r="M160" s="28" t="s">
        <x:v>26</x:v>
      </x:c>
      <x:c r="N160" s="28" t="s">
        <x:v>49</x:v>
      </x:c>
      <x:c r="O160" s="28" t="s">
        <x:v>28</x:v>
      </x:c>
      <x:c r="P160" s="29" t="s">
        <x:v>29</x:v>
      </x:c>
    </x:row>
    <x:row r="161">
      <x:c r="A161" s="27">
        <x:v>1161</x:v>
      </x:c>
      <x:c r="B161" s="28" t="s">
        <x:v>1155</x:v>
      </x:c>
      <x:c r="C161" s="28" t="s">
        <x:v>1156</x:v>
      </x:c>
      <x:c r="D161" s="28" t="s">
        <x:v>71</x:v>
      </x:c>
      <x:c r="E161" s="28" t="s">
        <x:v>53</x:v>
      </x:c>
      <x:c r="F161" s="28" t="s">
        <x:v>1157</x:v>
      </x:c>
      <x:c r="G161" s="28" t="s">
        <x:v>1158</x:v>
      </x:c>
      <x:c r="H161" s="28" t="s">
        <x:v>1159</x:v>
      </x:c>
      <x:c r="I161" s="28" t="s">
        <x:v>1160</x:v>
      </x:c>
      <x:c r="J161" s="28" t="s">
        <x:v>1161</x:v>
      </x:c>
      <x:c r="K161" s="28" t="s">
        <x:v>25</x:v>
      </x:c>
      <x:c r="L161" s="28" t="s">
        <x:v>25</x:v>
      </x:c>
      <x:c r="M161" s="28" t="s">
        <x:v>26</x:v>
      </x:c>
      <x:c r="N161" s="28" t="s">
        <x:v>59</x:v>
      </x:c>
      <x:c r="O161" s="28" t="s">
        <x:v>28</x:v>
      </x:c>
      <x:c r="P161" s="29" t="s">
        <x:v>29</x:v>
      </x:c>
    </x:row>
    <x:row r="162">
      <x:c r="A162" s="27">
        <x:v>1162</x:v>
      </x:c>
      <x:c r="B162" s="28" t="s">
        <x:v>1162</x:v>
      </x:c>
      <x:c r="C162" s="28" t="s">
        <x:v>1163</x:v>
      </x:c>
      <x:c r="D162" s="28" t="s">
        <x:v>80</x:v>
      </x:c>
      <x:c r="E162" s="28" t="s">
        <x:v>63</x:v>
      </x:c>
      <x:c r="F162" s="28" t="s">
        <x:v>1164</x:v>
      </x:c>
      <x:c r="G162" s="28" t="s">
        <x:v>1165</x:v>
      </x:c>
      <x:c r="H162" s="28" t="s">
        <x:v>1166</x:v>
      </x:c>
      <x:c r="I162" s="28" t="s">
        <x:v>1167</x:v>
      </x:c>
      <x:c r="J162" s="28" t="s">
        <x:v>1168</x:v>
      </x:c>
      <x:c r="K162" s="28" t="s">
        <x:v>25</x:v>
      </x:c>
      <x:c r="L162" s="28" t="s">
        <x:v>25</x:v>
      </x:c>
      <x:c r="M162" s="28" t="s">
        <x:v>26</x:v>
      </x:c>
      <x:c r="N162" s="28" t="s">
        <x:v>27</x:v>
      </x:c>
      <x:c r="O162" s="28" t="s">
        <x:v>28</x:v>
      </x:c>
      <x:c r="P162" s="29" t="s">
        <x:v>29</x:v>
      </x:c>
    </x:row>
    <x:row r="163">
      <x:c r="A163" s="27">
        <x:v>1163</x:v>
      </x:c>
      <x:c r="B163" s="28" t="s">
        <x:v>1169</x:v>
      </x:c>
      <x:c r="C163" s="28" t="s">
        <x:v>1170</x:v>
      </x:c>
      <x:c r="D163" s="28" t="s">
        <x:v>88</x:v>
      </x:c>
      <x:c r="E163" s="28" t="s">
        <x:v>72</x:v>
      </x:c>
      <x:c r="F163" s="28" t="s">
        <x:v>1171</x:v>
      </x:c>
      <x:c r="G163" s="28" t="s">
        <x:v>1172</x:v>
      </x:c>
      <x:c r="H163" s="28" t="s">
        <x:v>1173</x:v>
      </x:c>
      <x:c r="I163" s="28" t="s">
        <x:v>1174</x:v>
      </x:c>
      <x:c r="J163" s="28" t="s">
        <x:v>1175</x:v>
      </x:c>
      <x:c r="K163" s="28" t="s">
        <x:v>25</x:v>
      </x:c>
      <x:c r="L163" s="28" t="s">
        <x:v>25</x:v>
      </x:c>
      <x:c r="M163" s="28" t="s">
        <x:v>26</x:v>
      </x:c>
      <x:c r="N163" s="28" t="s">
        <x:v>39</x:v>
      </x:c>
      <x:c r="O163" s="28" t="s">
        <x:v>28</x:v>
      </x:c>
      <x:c r="P163" s="29" t="s">
        <x:v>29</x:v>
      </x:c>
    </x:row>
    <x:row r="164">
      <x:c r="A164" s="27">
        <x:v>1164</x:v>
      </x:c>
      <x:c r="B164" s="28" t="s">
        <x:v>1176</x:v>
      </x:c>
      <x:c r="C164" s="28" t="s">
        <x:v>1177</x:v>
      </x:c>
      <x:c r="D164" s="28" t="s">
        <x:v>96</x:v>
      </x:c>
      <x:c r="E164" s="28" t="s">
        <x:v>19</x:v>
      </x:c>
      <x:c r="F164" s="28" t="s">
        <x:v>1178</x:v>
      </x:c>
      <x:c r="G164" s="28" t="s">
        <x:v>1179</x:v>
      </x:c>
      <x:c r="H164" s="28" t="s">
        <x:v>1180</x:v>
      </x:c>
      <x:c r="I164" s="28" t="s">
        <x:v>1181</x:v>
      </x:c>
      <x:c r="J164" s="28" t="s">
        <x:v>1182</x:v>
      </x:c>
      <x:c r="K164" s="28" t="s">
        <x:v>25</x:v>
      </x:c>
      <x:c r="L164" s="28" t="s">
        <x:v>25</x:v>
      </x:c>
      <x:c r="M164" s="28" t="s">
        <x:v>26</x:v>
      </x:c>
      <x:c r="N164" s="28" t="s">
        <x:v>49</x:v>
      </x:c>
      <x:c r="O164" s="28" t="s">
        <x:v>28</x:v>
      </x:c>
      <x:c r="P164" s="29" t="s">
        <x:v>29</x:v>
      </x:c>
    </x:row>
    <x:row r="165">
      <x:c r="A165" s="27">
        <x:v>1165</x:v>
      </x:c>
      <x:c r="B165" s="28" t="s">
        <x:v>1183</x:v>
      </x:c>
      <x:c r="C165" s="28" t="s">
        <x:v>1184</x:v>
      </x:c>
      <x:c r="D165" s="28" t="s">
        <x:v>104</x:v>
      </x:c>
      <x:c r="E165" s="28" t="s">
        <x:v>33</x:v>
      </x:c>
      <x:c r="F165" s="28" t="s">
        <x:v>1185</x:v>
      </x:c>
      <x:c r="G165" s="28" t="s">
        <x:v>1186</x:v>
      </x:c>
      <x:c r="H165" s="28" t="s">
        <x:v>1187</x:v>
      </x:c>
      <x:c r="I165" s="28" t="s">
        <x:v>1188</x:v>
      </x:c>
      <x:c r="J165" s="28" t="s">
        <x:v>1189</x:v>
      </x:c>
      <x:c r="K165" s="28" t="s">
        <x:v>25</x:v>
      </x:c>
      <x:c r="L165" s="28" t="s">
        <x:v>25</x:v>
      </x:c>
      <x:c r="M165" s="28" t="s">
        <x:v>26</x:v>
      </x:c>
      <x:c r="N165" s="28" t="s">
        <x:v>59</x:v>
      </x:c>
      <x:c r="O165" s="28" t="s">
        <x:v>28</x:v>
      </x:c>
      <x:c r="P165" s="29" t="s">
        <x:v>29</x:v>
      </x:c>
    </x:row>
    <x:row r="166">
      <x:c r="A166" s="27">
        <x:v>1166</x:v>
      </x:c>
      <x:c r="B166" s="28" t="s">
        <x:v>1190</x:v>
      </x:c>
      <x:c r="C166" s="28" t="s">
        <x:v>1191</x:v>
      </x:c>
      <x:c r="D166" s="28" t="s">
        <x:v>112</x:v>
      </x:c>
      <x:c r="E166" s="28" t="s">
        <x:v>43</x:v>
      </x:c>
      <x:c r="F166" s="28" t="s">
        <x:v>1192</x:v>
      </x:c>
      <x:c r="G166" s="28" t="s">
        <x:v>1193</x:v>
      </x:c>
      <x:c r="H166" s="28" t="s">
        <x:v>1194</x:v>
      </x:c>
      <x:c r="I166" s="28" t="s">
        <x:v>1195</x:v>
      </x:c>
      <x:c r="J166" s="28" t="s">
        <x:v>1196</x:v>
      </x:c>
      <x:c r="K166" s="28" t="s">
        <x:v>25</x:v>
      </x:c>
      <x:c r="L166" s="28" t="s">
        <x:v>25</x:v>
      </x:c>
      <x:c r="M166" s="28" t="s">
        <x:v>26</x:v>
      </x:c>
      <x:c r="N166" s="28" t="s">
        <x:v>27</x:v>
      </x:c>
      <x:c r="O166" s="28" t="s">
        <x:v>28</x:v>
      </x:c>
      <x:c r="P166" s="29" t="s">
        <x:v>29</x:v>
      </x:c>
    </x:row>
    <x:row r="167">
      <x:c r="A167" s="27">
        <x:v>1167</x:v>
      </x:c>
      <x:c r="B167" s="28" t="s">
        <x:v>1197</x:v>
      </x:c>
      <x:c r="C167" s="28" t="s">
        <x:v>1198</x:v>
      </x:c>
      <x:c r="D167" s="28" t="s">
        <x:v>120</x:v>
      </x:c>
      <x:c r="E167" s="28" t="s">
        <x:v>53</x:v>
      </x:c>
      <x:c r="F167" s="28" t="s">
        <x:v>1199</x:v>
      </x:c>
      <x:c r="G167" s="28" t="s">
        <x:v>1200</x:v>
      </x:c>
      <x:c r="H167" s="28" t="s">
        <x:v>1201</x:v>
      </x:c>
      <x:c r="I167" s="28" t="s">
        <x:v>1202</x:v>
      </x:c>
      <x:c r="J167" s="28" t="s">
        <x:v>1203</x:v>
      </x:c>
      <x:c r="K167" s="28" t="s">
        <x:v>25</x:v>
      </x:c>
      <x:c r="L167" s="28" t="s">
        <x:v>25</x:v>
      </x:c>
      <x:c r="M167" s="28" t="s">
        <x:v>26</x:v>
      </x:c>
      <x:c r="N167" s="28" t="s">
        <x:v>39</x:v>
      </x:c>
      <x:c r="O167" s="28" t="s">
        <x:v>28</x:v>
      </x:c>
      <x:c r="P167" s="29" t="s">
        <x:v>29</x:v>
      </x:c>
    </x:row>
    <x:row r="168">
      <x:c r="A168" s="27">
        <x:v>1168</x:v>
      </x:c>
      <x:c r="B168" s="28" t="s">
        <x:v>1204</x:v>
      </x:c>
      <x:c r="C168" s="28" t="s">
        <x:v>1205</x:v>
      </x:c>
      <x:c r="D168" s="28" t="s">
        <x:v>128</x:v>
      </x:c>
      <x:c r="E168" s="28" t="s">
        <x:v>63</x:v>
      </x:c>
      <x:c r="F168" s="28" t="s">
        <x:v>1206</x:v>
      </x:c>
      <x:c r="G168" s="28" t="s">
        <x:v>1207</x:v>
      </x:c>
      <x:c r="H168" s="28" t="s">
        <x:v>1208</x:v>
      </x:c>
      <x:c r="I168" s="28" t="s">
        <x:v>1209</x:v>
      </x:c>
      <x:c r="J168" s="28" t="s">
        <x:v>1210</x:v>
      </x:c>
      <x:c r="K168" s="28" t="s">
        <x:v>25</x:v>
      </x:c>
      <x:c r="L168" s="28" t="s">
        <x:v>25</x:v>
      </x:c>
      <x:c r="M168" s="28" t="s">
        <x:v>26</x:v>
      </x:c>
      <x:c r="N168" s="28" t="s">
        <x:v>49</x:v>
      </x:c>
      <x:c r="O168" s="28" t="s">
        <x:v>28</x:v>
      </x:c>
      <x:c r="P168" s="29" t="s">
        <x:v>29</x:v>
      </x:c>
    </x:row>
    <x:row r="169">
      <x:c r="A169" s="27">
        <x:v>1169</x:v>
      </x:c>
      <x:c r="B169" s="28" t="s">
        <x:v>1211</x:v>
      </x:c>
      <x:c r="C169" s="28" t="s">
        <x:v>1212</x:v>
      </x:c>
      <x:c r="D169" s="28" t="s">
        <x:v>136</x:v>
      </x:c>
      <x:c r="E169" s="28" t="s">
        <x:v>72</x:v>
      </x:c>
      <x:c r="F169" s="28" t="s">
        <x:v>1213</x:v>
      </x:c>
      <x:c r="G169" s="28" t="s">
        <x:v>1214</x:v>
      </x:c>
      <x:c r="H169" s="28" t="s">
        <x:v>1215</x:v>
      </x:c>
      <x:c r="I169" s="28" t="s">
        <x:v>1216</x:v>
      </x:c>
      <x:c r="J169" s="28" t="s">
        <x:v>1217</x:v>
      </x:c>
      <x:c r="K169" s="28" t="s">
        <x:v>25</x:v>
      </x:c>
      <x:c r="L169" s="28" t="s">
        <x:v>25</x:v>
      </x:c>
      <x:c r="M169" s="28" t="s">
        <x:v>26</x:v>
      </x:c>
      <x:c r="N169" s="28" t="s">
        <x:v>59</x:v>
      </x:c>
      <x:c r="O169" s="28" t="s">
        <x:v>28</x:v>
      </x:c>
      <x:c r="P169" s="29" t="s">
        <x:v>29</x:v>
      </x:c>
    </x:row>
    <x:row r="170">
      <x:c r="A170" s="27">
        <x:v>1170</x:v>
      </x:c>
      <x:c r="B170" s="28" t="s">
        <x:v>1218</x:v>
      </x:c>
      <x:c r="C170" s="28" t="s">
        <x:v>1219</x:v>
      </x:c>
      <x:c r="D170" s="28" t="s">
        <x:v>18</x:v>
      </x:c>
      <x:c r="E170" s="28" t="s">
        <x:v>19</x:v>
      </x:c>
      <x:c r="F170" s="28" t="s">
        <x:v>1220</x:v>
      </x:c>
      <x:c r="G170" s="28" t="s">
        <x:v>1221</x:v>
      </x:c>
      <x:c r="H170" s="28" t="s">
        <x:v>1222</x:v>
      </x:c>
      <x:c r="I170" s="28" t="s">
        <x:v>1223</x:v>
      </x:c>
      <x:c r="J170" s="28" t="s">
        <x:v>1224</x:v>
      </x:c>
      <x:c r="K170" s="28" t="s">
        <x:v>25</x:v>
      </x:c>
      <x:c r="L170" s="28" t="s">
        <x:v>25</x:v>
      </x:c>
      <x:c r="M170" s="28" t="s">
        <x:v>26</x:v>
      </x:c>
      <x:c r="N170" s="28" t="s">
        <x:v>27</x:v>
      </x:c>
      <x:c r="O170" s="28" t="s">
        <x:v>28</x:v>
      </x:c>
      <x:c r="P170" s="29" t="s">
        <x:v>29</x:v>
      </x:c>
    </x:row>
    <x:row r="171">
      <x:c r="A171" s="27">
        <x:v>1171</x:v>
      </x:c>
      <x:c r="B171" s="28" t="s">
        <x:v>1225</x:v>
      </x:c>
      <x:c r="C171" s="28" t="s">
        <x:v>1226</x:v>
      </x:c>
      <x:c r="D171" s="28" t="s">
        <x:v>32</x:v>
      </x:c>
      <x:c r="E171" s="28" t="s">
        <x:v>33</x:v>
      </x:c>
      <x:c r="F171" s="28" t="s">
        <x:v>1227</x:v>
      </x:c>
      <x:c r="G171" s="28" t="s">
        <x:v>1228</x:v>
      </x:c>
      <x:c r="H171" s="28" t="s">
        <x:v>1229</x:v>
      </x:c>
      <x:c r="I171" s="28" t="s">
        <x:v>1230</x:v>
      </x:c>
      <x:c r="J171" s="28" t="s">
        <x:v>1231</x:v>
      </x:c>
      <x:c r="K171" s="28" t="s">
        <x:v>25</x:v>
      </x:c>
      <x:c r="L171" s="28" t="s">
        <x:v>25</x:v>
      </x:c>
      <x:c r="M171" s="28" t="s">
        <x:v>26</x:v>
      </x:c>
      <x:c r="N171" s="28" t="s">
        <x:v>39</x:v>
      </x:c>
      <x:c r="O171" s="28" t="s">
        <x:v>28</x:v>
      </x:c>
      <x:c r="P171" s="29" t="s">
        <x:v>29</x:v>
      </x:c>
    </x:row>
    <x:row r="172">
      <x:c r="A172" s="27">
        <x:v>1172</x:v>
      </x:c>
      <x:c r="B172" s="28" t="s">
        <x:v>1232</x:v>
      </x:c>
      <x:c r="C172" s="28" t="s">
        <x:v>1233</x:v>
      </x:c>
      <x:c r="D172" s="28" t="s">
        <x:v>42</x:v>
      </x:c>
      <x:c r="E172" s="28" t="s">
        <x:v>43</x:v>
      </x:c>
      <x:c r="F172" s="28" t="s">
        <x:v>1234</x:v>
      </x:c>
      <x:c r="G172" s="28" t="s">
        <x:v>1235</x:v>
      </x:c>
      <x:c r="H172" s="28" t="s">
        <x:v>1236</x:v>
      </x:c>
      <x:c r="I172" s="28" t="s">
        <x:v>1237</x:v>
      </x:c>
      <x:c r="J172" s="28" t="s">
        <x:v>1238</x:v>
      </x:c>
      <x:c r="K172" s="28" t="s">
        <x:v>25</x:v>
      </x:c>
      <x:c r="L172" s="28" t="s">
        <x:v>25</x:v>
      </x:c>
      <x:c r="M172" s="28" t="s">
        <x:v>26</x:v>
      </x:c>
      <x:c r="N172" s="28" t="s">
        <x:v>49</x:v>
      </x:c>
      <x:c r="O172" s="28" t="s">
        <x:v>28</x:v>
      </x:c>
      <x:c r="P172" s="29" t="s">
        <x:v>29</x:v>
      </x:c>
    </x:row>
    <x:row r="173">
      <x:c r="A173" s="27">
        <x:v>1173</x:v>
      </x:c>
      <x:c r="B173" s="28" t="s">
        <x:v>1239</x:v>
      </x:c>
      <x:c r="C173" s="28" t="s">
        <x:v>1240</x:v>
      </x:c>
      <x:c r="D173" s="28" t="s">
        <x:v>52</x:v>
      </x:c>
      <x:c r="E173" s="28" t="s">
        <x:v>53</x:v>
      </x:c>
      <x:c r="F173" s="28" t="s">
        <x:v>1241</x:v>
      </x:c>
      <x:c r="G173" s="28" t="s">
        <x:v>1242</x:v>
      </x:c>
      <x:c r="H173" s="28" t="s">
        <x:v>1243</x:v>
      </x:c>
      <x:c r="I173" s="28" t="s">
        <x:v>1244</x:v>
      </x:c>
      <x:c r="J173" s="28" t="s">
        <x:v>1245</x:v>
      </x:c>
      <x:c r="K173" s="28" t="s">
        <x:v>25</x:v>
      </x:c>
      <x:c r="L173" s="28" t="s">
        <x:v>25</x:v>
      </x:c>
      <x:c r="M173" s="28" t="s">
        <x:v>26</x:v>
      </x:c>
      <x:c r="N173" s="28" t="s">
        <x:v>59</x:v>
      </x:c>
      <x:c r="O173" s="28" t="s">
        <x:v>28</x:v>
      </x:c>
      <x:c r="P173" s="29" t="s">
        <x:v>29</x:v>
      </x:c>
    </x:row>
    <x:row r="174">
      <x:c r="A174" s="27">
        <x:v>1174</x:v>
      </x:c>
      <x:c r="B174" s="28" t="s">
        <x:v>1246</x:v>
      </x:c>
      <x:c r="C174" s="28" t="s">
        <x:v>1247</x:v>
      </x:c>
      <x:c r="D174" s="28" t="s">
        <x:v>62</x:v>
      </x:c>
      <x:c r="E174" s="28" t="s">
        <x:v>63</x:v>
      </x:c>
      <x:c r="F174" s="28"/>
      <x:c r="G174" s="28" t="s">
        <x:v>1248</x:v>
      </x:c>
      <x:c r="H174" s="28" t="s">
        <x:v>1249</x:v>
      </x:c>
      <x:c r="I174" s="28" t="s">
        <x:v>1250</x:v>
      </x:c>
      <x:c r="J174" s="28" t="s">
        <x:v>1251</x:v>
      </x:c>
      <x:c r="K174" s="28" t="s">
        <x:v>25</x:v>
      </x:c>
      <x:c r="L174" s="28" t="s">
        <x:v>239</x:v>
      </x:c>
      <x:c r="M174" s="28" t="s">
        <x:v>240</x:v>
      </x:c>
      <x:c r="N174" s="28" t="s">
        <x:v>27</x:v>
      </x:c>
      <x:c r="O174" s="28" t="s">
        <x:v>241</x:v>
      </x:c>
      <x:c r="P174" s="29" t="s">
        <x:v>241</x:v>
      </x:c>
    </x:row>
    <x:row r="175">
      <x:c r="A175" s="27">
        <x:v>1175</x:v>
      </x:c>
      <x:c r="B175" s="28" t="s">
        <x:v>1252</x:v>
      </x:c>
      <x:c r="C175" s="28" t="s">
        <x:v>1253</x:v>
      </x:c>
      <x:c r="D175" s="28" t="s">
        <x:v>71</x:v>
      </x:c>
      <x:c r="E175" s="28" t="s">
        <x:v>72</x:v>
      </x:c>
      <x:c r="F175" s="28" t="s">
        <x:v>1254</x:v>
      </x:c>
      <x:c r="G175" s="28" t="s">
        <x:v>1255</x:v>
      </x:c>
      <x:c r="H175" s="28" t="s">
        <x:v>1256</x:v>
      </x:c>
      <x:c r="I175" s="28" t="s">
        <x:v>1257</x:v>
      </x:c>
      <x:c r="J175" s="28" t="s">
        <x:v>1258</x:v>
      </x:c>
      <x:c r="K175" s="28" t="s">
        <x:v>25</x:v>
      </x:c>
      <x:c r="L175" s="28" t="s">
        <x:v>25</x:v>
      </x:c>
      <x:c r="M175" s="28" t="s">
        <x:v>26</x:v>
      </x:c>
      <x:c r="N175" s="28" t="s">
        <x:v>39</x:v>
      </x:c>
      <x:c r="O175" s="28" t="s">
        <x:v>28</x:v>
      </x:c>
      <x:c r="P175" s="29" t="s">
        <x:v>29</x:v>
      </x:c>
    </x:row>
    <x:row r="176">
      <x:c r="A176" s="27">
        <x:v>1176</x:v>
      </x:c>
      <x:c r="B176" s="28" t="s">
        <x:v>1259</x:v>
      </x:c>
      <x:c r="C176" s="28" t="s">
        <x:v>1260</x:v>
      </x:c>
      <x:c r="D176" s="28" t="s">
        <x:v>80</x:v>
      </x:c>
      <x:c r="E176" s="28" t="s">
        <x:v>19</x:v>
      </x:c>
      <x:c r="F176" s="28" t="s">
        <x:v>1261</x:v>
      </x:c>
      <x:c r="G176" s="28" t="s">
        <x:v>1262</x:v>
      </x:c>
      <x:c r="H176" s="28" t="s">
        <x:v>1263</x:v>
      </x:c>
      <x:c r="I176" s="28" t="s">
        <x:v>1264</x:v>
      </x:c>
      <x:c r="J176" s="28" t="s">
        <x:v>1265</x:v>
      </x:c>
      <x:c r="K176" s="28" t="s">
        <x:v>25</x:v>
      </x:c>
      <x:c r="L176" s="28" t="s">
        <x:v>25</x:v>
      </x:c>
      <x:c r="M176" s="28" t="s">
        <x:v>26</x:v>
      </x:c>
      <x:c r="N176" s="28" t="s">
        <x:v>49</x:v>
      </x:c>
      <x:c r="O176" s="28" t="s">
        <x:v>28</x:v>
      </x:c>
      <x:c r="P176" s="29" t="s">
        <x:v>29</x:v>
      </x:c>
    </x:row>
    <x:row r="177">
      <x:c r="A177" s="27">
        <x:v>1177</x:v>
      </x:c>
      <x:c r="B177" s="28" t="s">
        <x:v>1266</x:v>
      </x:c>
      <x:c r="C177" s="28" t="s">
        <x:v>1267</x:v>
      </x:c>
      <x:c r="D177" s="28" t="s">
        <x:v>88</x:v>
      </x:c>
      <x:c r="E177" s="28" t="s">
        <x:v>33</x:v>
      </x:c>
      <x:c r="F177" s="28" t="s">
        <x:v>1268</x:v>
      </x:c>
      <x:c r="G177" s="28" t="s">
        <x:v>1269</x:v>
      </x:c>
      <x:c r="H177" s="28" t="s">
        <x:v>1270</x:v>
      </x:c>
      <x:c r="I177" s="28" t="s">
        <x:v>1271</x:v>
      </x:c>
      <x:c r="J177" s="28" t="s">
        <x:v>1272</x:v>
      </x:c>
      <x:c r="K177" s="28" t="s">
        <x:v>25</x:v>
      </x:c>
      <x:c r="L177" s="28" t="s">
        <x:v>25</x:v>
      </x:c>
      <x:c r="M177" s="28" t="s">
        <x:v>26</x:v>
      </x:c>
      <x:c r="N177" s="28" t="s">
        <x:v>59</x:v>
      </x:c>
      <x:c r="O177" s="28" t="s">
        <x:v>28</x:v>
      </x:c>
      <x:c r="P177" s="29" t="s">
        <x:v>29</x:v>
      </x:c>
    </x:row>
    <x:row r="178">
      <x:c r="A178" s="27">
        <x:v>1178</x:v>
      </x:c>
      <x:c r="B178" s="28" t="s">
        <x:v>1273</x:v>
      </x:c>
      <x:c r="C178" s="28" t="s">
        <x:v>1274</x:v>
      </x:c>
      <x:c r="D178" s="28" t="s">
        <x:v>96</x:v>
      </x:c>
      <x:c r="E178" s="28" t="s">
        <x:v>43</x:v>
      </x:c>
      <x:c r="F178" s="28" t="s">
        <x:v>1275</x:v>
      </x:c>
      <x:c r="G178" s="28" t="s">
        <x:v>1276</x:v>
      </x:c>
      <x:c r="H178" s="28" t="s">
        <x:v>1277</x:v>
      </x:c>
      <x:c r="I178" s="28" t="s">
        <x:v>1278</x:v>
      </x:c>
      <x:c r="J178" s="28" t="s">
        <x:v>1279</x:v>
      </x:c>
      <x:c r="K178" s="28" t="s">
        <x:v>25</x:v>
      </x:c>
      <x:c r="L178" s="28" t="s">
        <x:v>25</x:v>
      </x:c>
      <x:c r="M178" s="28" t="s">
        <x:v>26</x:v>
      </x:c>
      <x:c r="N178" s="28" t="s">
        <x:v>27</x:v>
      </x:c>
      <x:c r="O178" s="28" t="s">
        <x:v>28</x:v>
      </x:c>
      <x:c r="P178" s="29" t="s">
        <x:v>29</x:v>
      </x:c>
    </x:row>
    <x:row r="179">
      <x:c r="A179" s="27">
        <x:v>1179</x:v>
      </x:c>
      <x:c r="B179" s="28" t="s">
        <x:v>1280</x:v>
      </x:c>
      <x:c r="C179" s="28" t="s">
        <x:v>1281</x:v>
      </x:c>
      <x:c r="D179" s="28" t="s">
        <x:v>104</x:v>
      </x:c>
      <x:c r="E179" s="28" t="s">
        <x:v>53</x:v>
      </x:c>
      <x:c r="F179" s="28" t="s">
        <x:v>1282</x:v>
      </x:c>
      <x:c r="G179" s="28" t="s">
        <x:v>1283</x:v>
      </x:c>
      <x:c r="H179" s="28" t="s">
        <x:v>1284</x:v>
      </x:c>
      <x:c r="I179" s="28" t="s">
        <x:v>1285</x:v>
      </x:c>
      <x:c r="J179" s="28" t="s">
        <x:v>1286</x:v>
      </x:c>
      <x:c r="K179" s="28" t="s">
        <x:v>25</x:v>
      </x:c>
      <x:c r="L179" s="28" t="s">
        <x:v>25</x:v>
      </x:c>
      <x:c r="M179" s="28" t="s">
        <x:v>26</x:v>
      </x:c>
      <x:c r="N179" s="28" t="s">
        <x:v>39</x:v>
      </x:c>
      <x:c r="O179" s="28" t="s">
        <x:v>28</x:v>
      </x:c>
      <x:c r="P179" s="29" t="s">
        <x:v>29</x:v>
      </x:c>
    </x:row>
    <x:row r="180">
      <x:c r="A180" s="27">
        <x:v>1180</x:v>
      </x:c>
      <x:c r="B180" s="28" t="s">
        <x:v>1287</x:v>
      </x:c>
      <x:c r="C180" s="28" t="s">
        <x:v>1288</x:v>
      </x:c>
      <x:c r="D180" s="28" t="s">
        <x:v>112</x:v>
      </x:c>
      <x:c r="E180" s="28" t="s">
        <x:v>63</x:v>
      </x:c>
      <x:c r="F180" s="28" t="s">
        <x:v>1289</x:v>
      </x:c>
      <x:c r="G180" s="28" t="s">
        <x:v>1290</x:v>
      </x:c>
      <x:c r="H180" s="28" t="s">
        <x:v>1291</x:v>
      </x:c>
      <x:c r="I180" s="28" t="s">
        <x:v>1292</x:v>
      </x:c>
      <x:c r="J180" s="28" t="s">
        <x:v>1293</x:v>
      </x:c>
      <x:c r="K180" s="28" t="s">
        <x:v>25</x:v>
      </x:c>
      <x:c r="L180" s="28" t="s">
        <x:v>25</x:v>
      </x:c>
      <x:c r="M180" s="28" t="s">
        <x:v>26</x:v>
      </x:c>
      <x:c r="N180" s="28" t="s">
        <x:v>49</x:v>
      </x:c>
      <x:c r="O180" s="28" t="s">
        <x:v>28</x:v>
      </x:c>
      <x:c r="P180" s="29" t="s">
        <x:v>29</x:v>
      </x:c>
    </x:row>
    <x:row r="181">
      <x:c r="A181" s="27">
        <x:v>1181</x:v>
      </x:c>
      <x:c r="B181" s="28" t="s">
        <x:v>1294</x:v>
      </x:c>
      <x:c r="C181" s="28" t="s">
        <x:v>1295</x:v>
      </x:c>
      <x:c r="D181" s="28" t="s">
        <x:v>120</x:v>
      </x:c>
      <x:c r="E181" s="28" t="s">
        <x:v>72</x:v>
      </x:c>
      <x:c r="F181" s="28" t="s">
        <x:v>1296</x:v>
      </x:c>
      <x:c r="G181" s="28" t="s">
        <x:v>1297</x:v>
      </x:c>
      <x:c r="H181" s="28" t="s">
        <x:v>1298</x:v>
      </x:c>
      <x:c r="I181" s="28" t="s">
        <x:v>1299</x:v>
      </x:c>
      <x:c r="J181" s="28" t="s">
        <x:v>1300</x:v>
      </x:c>
      <x:c r="K181" s="28" t="s">
        <x:v>25</x:v>
      </x:c>
      <x:c r="L181" s="28" t="s">
        <x:v>25</x:v>
      </x:c>
      <x:c r="M181" s="28" t="s">
        <x:v>26</x:v>
      </x:c>
      <x:c r="N181" s="28" t="s">
        <x:v>59</x:v>
      </x:c>
      <x:c r="O181" s="28" t="s">
        <x:v>28</x:v>
      </x:c>
      <x:c r="P181" s="29" t="s">
        <x:v>29</x:v>
      </x:c>
    </x:row>
    <x:row r="182">
      <x:c r="A182" s="27">
        <x:v>1182</x:v>
      </x:c>
      <x:c r="B182" s="28" t="s">
        <x:v>1301</x:v>
      </x:c>
      <x:c r="C182" s="28" t="s">
        <x:v>1302</x:v>
      </x:c>
      <x:c r="D182" s="28" t="s">
        <x:v>128</x:v>
      </x:c>
      <x:c r="E182" s="28" t="s">
        <x:v>19</x:v>
      </x:c>
      <x:c r="F182" s="28" t="s">
        <x:v>1303</x:v>
      </x:c>
      <x:c r="G182" s="28" t="s">
        <x:v>1304</x:v>
      </x:c>
      <x:c r="H182" s="28" t="s">
        <x:v>1305</x:v>
      </x:c>
      <x:c r="I182" s="28" t="s">
        <x:v>1306</x:v>
      </x:c>
      <x:c r="J182" s="28" t="s">
        <x:v>1307</x:v>
      </x:c>
      <x:c r="K182" s="28" t="s">
        <x:v>25</x:v>
      </x:c>
      <x:c r="L182" s="28" t="s">
        <x:v>25</x:v>
      </x:c>
      <x:c r="M182" s="28" t="s">
        <x:v>26</x:v>
      </x:c>
      <x:c r="N182" s="28" t="s">
        <x:v>27</x:v>
      </x:c>
      <x:c r="O182" s="28" t="s">
        <x:v>28</x:v>
      </x:c>
      <x:c r="P182" s="29" t="s">
        <x:v>29</x:v>
      </x:c>
    </x:row>
    <x:row r="183">
      <x:c r="A183" s="27">
        <x:v>1183</x:v>
      </x:c>
      <x:c r="B183" s="28" t="s">
        <x:v>1308</x:v>
      </x:c>
      <x:c r="C183" s="28" t="s">
        <x:v>1309</x:v>
      </x:c>
      <x:c r="D183" s="28" t="s">
        <x:v>136</x:v>
      </x:c>
      <x:c r="E183" s="28" t="s">
        <x:v>33</x:v>
      </x:c>
      <x:c r="F183" s="28" t="s">
        <x:v>1310</x:v>
      </x:c>
      <x:c r="G183" s="28" t="s">
        <x:v>1311</x:v>
      </x:c>
      <x:c r="H183" s="28" t="s">
        <x:v>1312</x:v>
      </x:c>
      <x:c r="I183" s="28" t="s">
        <x:v>1313</x:v>
      </x:c>
      <x:c r="J183" s="28" t="s">
        <x:v>1314</x:v>
      </x:c>
      <x:c r="K183" s="28" t="s">
        <x:v>25</x:v>
      </x:c>
      <x:c r="L183" s="28" t="s">
        <x:v>25</x:v>
      </x:c>
      <x:c r="M183" s="28" t="s">
        <x:v>26</x:v>
      </x:c>
      <x:c r="N183" s="28" t="s">
        <x:v>39</x:v>
      </x:c>
      <x:c r="O183" s="28" t="s">
        <x:v>28</x:v>
      </x:c>
      <x:c r="P183" s="29" t="s">
        <x:v>29</x:v>
      </x:c>
    </x:row>
    <x:row r="184">
      <x:c r="A184" s="27">
        <x:v>1184</x:v>
      </x:c>
      <x:c r="B184" s="28" t="s">
        <x:v>1315</x:v>
      </x:c>
      <x:c r="C184" s="28" t="s">
        <x:v>1316</x:v>
      </x:c>
      <x:c r="D184" s="28" t="s">
        <x:v>18</x:v>
      </x:c>
      <x:c r="E184" s="28" t="s">
        <x:v>43</x:v>
      </x:c>
      <x:c r="F184" s="28" t="s">
        <x:v>1317</x:v>
      </x:c>
      <x:c r="G184" s="28" t="s">
        <x:v>1318</x:v>
      </x:c>
      <x:c r="H184" s="28" t="s">
        <x:v>1319</x:v>
      </x:c>
      <x:c r="I184" s="28" t="s">
        <x:v>1320</x:v>
      </x:c>
      <x:c r="J184" s="28" t="s">
        <x:v>1321</x:v>
      </x:c>
      <x:c r="K184" s="28" t="s">
        <x:v>25</x:v>
      </x:c>
      <x:c r="L184" s="28" t="s">
        <x:v>25</x:v>
      </x:c>
      <x:c r="M184" s="28" t="s">
        <x:v>26</x:v>
      </x:c>
      <x:c r="N184" s="28" t="s">
        <x:v>49</x:v>
      </x:c>
      <x:c r="O184" s="28" t="s">
        <x:v>28</x:v>
      </x:c>
      <x:c r="P184" s="29" t="s">
        <x:v>29</x:v>
      </x:c>
    </x:row>
    <x:row r="185">
      <x:c r="A185" s="27">
        <x:v>1185</x:v>
      </x:c>
      <x:c r="B185" s="28" t="s">
        <x:v>1322</x:v>
      </x:c>
      <x:c r="C185" s="28" t="s">
        <x:v>1323</x:v>
      </x:c>
      <x:c r="D185" s="28" t="s">
        <x:v>32</x:v>
      </x:c>
      <x:c r="E185" s="28" t="s">
        <x:v>53</x:v>
      </x:c>
      <x:c r="F185" s="28" t="s">
        <x:v>1324</x:v>
      </x:c>
      <x:c r="G185" s="28" t="s">
        <x:v>1325</x:v>
      </x:c>
      <x:c r="H185" s="28" t="s">
        <x:v>1326</x:v>
      </x:c>
      <x:c r="I185" s="28" t="s">
        <x:v>1327</x:v>
      </x:c>
      <x:c r="J185" s="28" t="s">
        <x:v>1328</x:v>
      </x:c>
      <x:c r="K185" s="28" t="s">
        <x:v>239</x:v>
      </x:c>
      <x:c r="L185" s="28" t="s">
        <x:v>25</x:v>
      </x:c>
      <x:c r="M185" s="28" t="s">
        <x:v>240</x:v>
      </x:c>
      <x:c r="N185" s="28" t="s">
        <x:v>59</x:v>
      </x:c>
      <x:c r="O185" s="28" t="s">
        <x:v>241</x:v>
      </x:c>
      <x:c r="P185" s="29" t="s">
        <x:v>241</x:v>
      </x:c>
    </x:row>
    <x:row r="186">
      <x:c r="A186" s="27">
        <x:v>1186</x:v>
      </x:c>
      <x:c r="B186" s="28" t="s">
        <x:v>1329</x:v>
      </x:c>
      <x:c r="C186" s="28" t="s">
        <x:v>1330</x:v>
      </x:c>
      <x:c r="D186" s="28" t="s">
        <x:v>42</x:v>
      </x:c>
      <x:c r="E186" s="28" t="s">
        <x:v>63</x:v>
      </x:c>
      <x:c r="F186" s="28" t="s">
        <x:v>1331</x:v>
      </x:c>
      <x:c r="G186" s="28" t="s">
        <x:v>1332</x:v>
      </x:c>
      <x:c r="H186" s="28" t="s">
        <x:v>1333</x:v>
      </x:c>
      <x:c r="I186" s="28" t="s">
        <x:v>1334</x:v>
      </x:c>
      <x:c r="J186" s="28" t="s">
        <x:v>1335</x:v>
      </x:c>
      <x:c r="K186" s="28" t="s">
        <x:v>25</x:v>
      </x:c>
      <x:c r="L186" s="28" t="s">
        <x:v>25</x:v>
      </x:c>
      <x:c r="M186" s="28" t="s">
        <x:v>26</x:v>
      </x:c>
      <x:c r="N186" s="28" t="s">
        <x:v>27</x:v>
      </x:c>
      <x:c r="O186" s="28" t="s">
        <x:v>28</x:v>
      </x:c>
      <x:c r="P186" s="29" t="s">
        <x:v>29</x:v>
      </x:c>
    </x:row>
    <x:row r="187">
      <x:c r="A187" s="27">
        <x:v>1187</x:v>
      </x:c>
      <x:c r="B187" s="28" t="s">
        <x:v>1336</x:v>
      </x:c>
      <x:c r="C187" s="28" t="s">
        <x:v>1337</x:v>
      </x:c>
      <x:c r="D187" s="28" t="s">
        <x:v>52</x:v>
      </x:c>
      <x:c r="E187" s="28" t="s">
        <x:v>72</x:v>
      </x:c>
      <x:c r="F187" s="28" t="s">
        <x:v>1338</x:v>
      </x:c>
      <x:c r="G187" s="28" t="s">
        <x:v>1339</x:v>
      </x:c>
      <x:c r="H187" s="28" t="s">
        <x:v>1340</x:v>
      </x:c>
      <x:c r="I187" s="28" t="s">
        <x:v>1341</x:v>
      </x:c>
      <x:c r="J187" s="28" t="s">
        <x:v>1342</x:v>
      </x:c>
      <x:c r="K187" s="28" t="s">
        <x:v>25</x:v>
      </x:c>
      <x:c r="L187" s="28" t="s">
        <x:v>25</x:v>
      </x:c>
      <x:c r="M187" s="28" t="s">
        <x:v>26</x:v>
      </x:c>
      <x:c r="N187" s="28" t="s">
        <x:v>39</x:v>
      </x:c>
      <x:c r="O187" s="28" t="s">
        <x:v>28</x:v>
      </x:c>
      <x:c r="P187" s="29" t="s">
        <x:v>29</x:v>
      </x:c>
    </x:row>
    <x:row r="188">
      <x:c r="A188" s="27">
        <x:v>1188</x:v>
      </x:c>
      <x:c r="B188" s="28" t="s">
        <x:v>1343</x:v>
      </x:c>
      <x:c r="C188" s="28" t="s">
        <x:v>1344</x:v>
      </x:c>
      <x:c r="D188" s="28" t="s">
        <x:v>62</x:v>
      </x:c>
      <x:c r="E188" s="28" t="s">
        <x:v>19</x:v>
      </x:c>
      <x:c r="F188" s="28" t="s">
        <x:v>1345</x:v>
      </x:c>
      <x:c r="G188" s="28" t="s">
        <x:v>1346</x:v>
      </x:c>
      <x:c r="H188" s="28" t="s">
        <x:v>1347</x:v>
      </x:c>
      <x:c r="I188" s="28" t="s">
        <x:v>1348</x:v>
      </x:c>
      <x:c r="J188" s="28" t="s">
        <x:v>1349</x:v>
      </x:c>
      <x:c r="K188" s="28" t="s">
        <x:v>25</x:v>
      </x:c>
      <x:c r="L188" s="28" t="s">
        <x:v>25</x:v>
      </x:c>
      <x:c r="M188" s="28" t="s">
        <x:v>26</x:v>
      </x:c>
      <x:c r="N188" s="28" t="s">
        <x:v>49</x:v>
      </x:c>
      <x:c r="O188" s="28" t="s">
        <x:v>28</x:v>
      </x:c>
      <x:c r="P188" s="29" t="s">
        <x:v>29</x:v>
      </x:c>
    </x:row>
    <x:row r="189">
      <x:c r="A189" s="27">
        <x:v>1189</x:v>
      </x:c>
      <x:c r="B189" s="28" t="s">
        <x:v>1350</x:v>
      </x:c>
      <x:c r="C189" s="28" t="s">
        <x:v>1351</x:v>
      </x:c>
      <x:c r="D189" s="28" t="s">
        <x:v>71</x:v>
      </x:c>
      <x:c r="E189" s="28" t="s">
        <x:v>33</x:v>
      </x:c>
      <x:c r="F189" s="28" t="s">
        <x:v>1352</x:v>
      </x:c>
      <x:c r="G189" s="28" t="s">
        <x:v>1353</x:v>
      </x:c>
      <x:c r="H189" s="28" t="s">
        <x:v>1354</x:v>
      </x:c>
      <x:c r="I189" s="28" t="s">
        <x:v>1355</x:v>
      </x:c>
      <x:c r="J189" s="28" t="s">
        <x:v>1356</x:v>
      </x:c>
      <x:c r="K189" s="28" t="s">
        <x:v>25</x:v>
      </x:c>
      <x:c r="L189" s="28" t="s">
        <x:v>25</x:v>
      </x:c>
      <x:c r="M189" s="28" t="s">
        <x:v>26</x:v>
      </x:c>
      <x:c r="N189" s="28" t="s">
        <x:v>59</x:v>
      </x:c>
      <x:c r="O189" s="28" t="s">
        <x:v>28</x:v>
      </x:c>
      <x:c r="P189" s="29" t="s">
        <x:v>29</x:v>
      </x:c>
    </x:row>
    <x:row r="190">
      <x:c r="A190" s="27">
        <x:v>1190</x:v>
      </x:c>
      <x:c r="B190" s="28" t="s">
        <x:v>1357</x:v>
      </x:c>
      <x:c r="C190" s="28" t="s">
        <x:v>1358</x:v>
      </x:c>
      <x:c r="D190" s="28" t="s">
        <x:v>80</x:v>
      </x:c>
      <x:c r="E190" s="28" t="s">
        <x:v>43</x:v>
      </x:c>
      <x:c r="F190" s="28" t="s">
        <x:v>1359</x:v>
      </x:c>
      <x:c r="G190" s="28" t="s">
        <x:v>1360</x:v>
      </x:c>
      <x:c r="H190" s="28" t="s">
        <x:v>1361</x:v>
      </x:c>
      <x:c r="I190" s="28" t="s">
        <x:v>1362</x:v>
      </x:c>
      <x:c r="J190" s="28" t="s">
        <x:v>1363</x:v>
      </x:c>
      <x:c r="K190" s="28" t="s">
        <x:v>25</x:v>
      </x:c>
      <x:c r="L190" s="28" t="s">
        <x:v>25</x:v>
      </x:c>
      <x:c r="M190" s="28" t="s">
        <x:v>26</x:v>
      </x:c>
      <x:c r="N190" s="28" t="s">
        <x:v>27</x:v>
      </x:c>
      <x:c r="O190" s="28" t="s">
        <x:v>28</x:v>
      </x:c>
      <x:c r="P190" s="29" t="s">
        <x:v>29</x:v>
      </x:c>
    </x:row>
    <x:row r="191">
      <x:c r="A191" s="27">
        <x:v>1191</x:v>
      </x:c>
      <x:c r="B191" s="28" t="s">
        <x:v>1364</x:v>
      </x:c>
      <x:c r="C191" s="28" t="s">
        <x:v>1365</x:v>
      </x:c>
      <x:c r="D191" s="28" t="s">
        <x:v>88</x:v>
      </x:c>
      <x:c r="E191" s="28" t="s">
        <x:v>53</x:v>
      </x:c>
      <x:c r="F191" s="28" t="s">
        <x:v>1366</x:v>
      </x:c>
      <x:c r="G191" s="28" t="s">
        <x:v>1367</x:v>
      </x:c>
      <x:c r="H191" s="28" t="s">
        <x:v>1368</x:v>
      </x:c>
      <x:c r="I191" s="28" t="s">
        <x:v>1369</x:v>
      </x:c>
      <x:c r="J191" s="28" t="s">
        <x:v>1370</x:v>
      </x:c>
      <x:c r="K191" s="28" t="s">
        <x:v>25</x:v>
      </x:c>
      <x:c r="L191" s="28" t="s">
        <x:v>25</x:v>
      </x:c>
      <x:c r="M191" s="28" t="s">
        <x:v>26</x:v>
      </x:c>
      <x:c r="N191" s="28" t="s">
        <x:v>39</x:v>
      </x:c>
      <x:c r="O191" s="28" t="s">
        <x:v>28</x:v>
      </x:c>
      <x:c r="P191" s="29" t="s">
        <x:v>29</x:v>
      </x:c>
    </x:row>
    <x:row r="192">
      <x:c r="A192" s="27">
        <x:v>1192</x:v>
      </x:c>
      <x:c r="B192" s="28" t="s">
        <x:v>1371</x:v>
      </x:c>
      <x:c r="C192" s="28" t="s">
        <x:v>1372</x:v>
      </x:c>
      <x:c r="D192" s="28" t="s">
        <x:v>96</x:v>
      </x:c>
      <x:c r="E192" s="28" t="s">
        <x:v>63</x:v>
      </x:c>
      <x:c r="F192" s="28" t="s">
        <x:v>1373</x:v>
      </x:c>
      <x:c r="G192" s="28" t="s">
        <x:v>1374</x:v>
      </x:c>
      <x:c r="H192" s="28" t="s">
        <x:v>1375</x:v>
      </x:c>
      <x:c r="I192" s="28" t="s">
        <x:v>1376</x:v>
      </x:c>
      <x:c r="J192" s="28" t="s">
        <x:v>1377</x:v>
      </x:c>
      <x:c r="K192" s="28" t="s">
        <x:v>25</x:v>
      </x:c>
      <x:c r="L192" s="28" t="s">
        <x:v>25</x:v>
      </x:c>
      <x:c r="M192" s="28" t="s">
        <x:v>26</x:v>
      </x:c>
      <x:c r="N192" s="28" t="s">
        <x:v>49</x:v>
      </x:c>
      <x:c r="O192" s="28" t="s">
        <x:v>28</x:v>
      </x:c>
      <x:c r="P192" s="29" t="s">
        <x:v>29</x:v>
      </x:c>
    </x:row>
    <x:row r="193">
      <x:c r="A193" s="27">
        <x:v>1193</x:v>
      </x:c>
      <x:c r="B193" s="28" t="s">
        <x:v>1378</x:v>
      </x:c>
      <x:c r="C193" s="28" t="s">
        <x:v>1379</x:v>
      </x:c>
      <x:c r="D193" s="28" t="s">
        <x:v>104</x:v>
      </x:c>
      <x:c r="E193" s="28" t="s">
        <x:v>72</x:v>
      </x:c>
      <x:c r="F193" s="28" t="s">
        <x:v>1380</x:v>
      </x:c>
      <x:c r="G193" s="28" t="s">
        <x:v>1381</x:v>
      </x:c>
      <x:c r="H193" s="28" t="s">
        <x:v>1382</x:v>
      </x:c>
      <x:c r="I193" s="28" t="s">
        <x:v>1383</x:v>
      </x:c>
      <x:c r="J193" s="28" t="s">
        <x:v>1384</x:v>
      </x:c>
      <x:c r="K193" s="28" t="s">
        <x:v>25</x:v>
      </x:c>
      <x:c r="L193" s="28" t="s">
        <x:v>25</x:v>
      </x:c>
      <x:c r="M193" s="28" t="s">
        <x:v>26</x:v>
      </x:c>
      <x:c r="N193" s="28" t="s">
        <x:v>59</x:v>
      </x:c>
      <x:c r="O193" s="28" t="s">
        <x:v>28</x:v>
      </x:c>
      <x:c r="P193" s="29" t="s">
        <x:v>29</x:v>
      </x:c>
    </x:row>
    <x:row r="194">
      <x:c r="A194" s="27">
        <x:v>1194</x:v>
      </x:c>
      <x:c r="B194" s="28" t="s">
        <x:v>1385</x:v>
      </x:c>
      <x:c r="C194" s="28" t="s">
        <x:v>1386</x:v>
      </x:c>
      <x:c r="D194" s="28" t="s">
        <x:v>112</x:v>
      </x:c>
      <x:c r="E194" s="28" t="s">
        <x:v>19</x:v>
      </x:c>
      <x:c r="F194" s="28" t="s">
        <x:v>1387</x:v>
      </x:c>
      <x:c r="G194" s="28" t="s">
        <x:v>1388</x:v>
      </x:c>
      <x:c r="H194" s="28" t="s">
        <x:v>1389</x:v>
      </x:c>
      <x:c r="I194" s="28" t="s">
        <x:v>1390</x:v>
      </x:c>
      <x:c r="J194" s="28" t="s">
        <x:v>1391</x:v>
      </x:c>
      <x:c r="K194" s="28" t="s">
        <x:v>25</x:v>
      </x:c>
      <x:c r="L194" s="28" t="s">
        <x:v>25</x:v>
      </x:c>
      <x:c r="M194" s="28" t="s">
        <x:v>26</x:v>
      </x:c>
      <x:c r="N194" s="28" t="s">
        <x:v>27</x:v>
      </x:c>
      <x:c r="O194" s="28" t="s">
        <x:v>28</x:v>
      </x:c>
      <x:c r="P194" s="29" t="s">
        <x:v>29</x:v>
      </x:c>
    </x:row>
    <x:row r="195">
      <x:c r="A195" s="27">
        <x:v>1195</x:v>
      </x:c>
      <x:c r="B195" s="28" t="s">
        <x:v>1392</x:v>
      </x:c>
      <x:c r="C195" s="28" t="s">
        <x:v>1393</x:v>
      </x:c>
      <x:c r="D195" s="28" t="s">
        <x:v>120</x:v>
      </x:c>
      <x:c r="E195" s="28" t="s">
        <x:v>33</x:v>
      </x:c>
      <x:c r="F195" s="28" t="s">
        <x:v>1394</x:v>
      </x:c>
      <x:c r="G195" s="28" t="s">
        <x:v>1395</x:v>
      </x:c>
      <x:c r="H195" s="28" t="s">
        <x:v>1396</x:v>
      </x:c>
      <x:c r="I195" s="28" t="s">
        <x:v>1397</x:v>
      </x:c>
      <x:c r="J195" s="28" t="s">
        <x:v>1398</x:v>
      </x:c>
      <x:c r="K195" s="28" t="s">
        <x:v>25</x:v>
      </x:c>
      <x:c r="L195" s="28" t="s">
        <x:v>25</x:v>
      </x:c>
      <x:c r="M195" s="28" t="s">
        <x:v>26</x:v>
      </x:c>
      <x:c r="N195" s="28" t="s">
        <x:v>39</x:v>
      </x:c>
      <x:c r="O195" s="28" t="s">
        <x:v>28</x:v>
      </x:c>
      <x:c r="P195" s="29" t="s">
        <x:v>29</x:v>
      </x:c>
    </x:row>
    <x:row r="196">
      <x:c r="A196" s="27">
        <x:v>1196</x:v>
      </x:c>
      <x:c r="B196" s="28" t="s">
        <x:v>1399</x:v>
      </x:c>
      <x:c r="C196" s="28" t="s">
        <x:v>1400</x:v>
      </x:c>
      <x:c r="D196" s="28" t="s">
        <x:v>128</x:v>
      </x:c>
      <x:c r="E196" s="28" t="s">
        <x:v>43</x:v>
      </x:c>
      <x:c r="F196" s="28" t="s">
        <x:v>1401</x:v>
      </x:c>
      <x:c r="G196" s="28" t="s">
        <x:v>1402</x:v>
      </x:c>
      <x:c r="H196" s="28" t="s">
        <x:v>1403</x:v>
      </x:c>
      <x:c r="I196" s="28" t="s">
        <x:v>1404</x:v>
      </x:c>
      <x:c r="J196" s="28" t="s">
        <x:v>1405</x:v>
      </x:c>
      <x:c r="K196" s="28" t="s">
        <x:v>25</x:v>
      </x:c>
      <x:c r="L196" s="28" t="s">
        <x:v>25</x:v>
      </x:c>
      <x:c r="M196" s="28" t="s">
        <x:v>26</x:v>
      </x:c>
      <x:c r="N196" s="28" t="s">
        <x:v>49</x:v>
      </x:c>
      <x:c r="O196" s="28" t="s">
        <x:v>28</x:v>
      </x:c>
      <x:c r="P196" s="29" t="s">
        <x:v>29</x:v>
      </x:c>
    </x:row>
    <x:row r="197">
      <x:c r="A197" s="27">
        <x:v>1197</x:v>
      </x:c>
      <x:c r="B197" s="28" t="s">
        <x:v>1406</x:v>
      </x:c>
      <x:c r="C197" s="28" t="s">
        <x:v>1407</x:v>
      </x:c>
      <x:c r="D197" s="28" t="s">
        <x:v>136</x:v>
      </x:c>
      <x:c r="E197" s="28" t="s">
        <x:v>53</x:v>
      </x:c>
      <x:c r="F197" s="28" t="s">
        <x:v>1408</x:v>
      </x:c>
      <x:c r="G197" s="28" t="s">
        <x:v>1409</x:v>
      </x:c>
      <x:c r="H197" s="28" t="s">
        <x:v>1410</x:v>
      </x:c>
      <x:c r="I197" s="28" t="s">
        <x:v>1411</x:v>
      </x:c>
      <x:c r="J197" s="28" t="s">
        <x:v>1412</x:v>
      </x:c>
      <x:c r="K197" s="28" t="s">
        <x:v>25</x:v>
      </x:c>
      <x:c r="L197" s="28" t="s">
        <x:v>25</x:v>
      </x:c>
      <x:c r="M197" s="28" t="s">
        <x:v>26</x:v>
      </x:c>
      <x:c r="N197" s="28" t="s">
        <x:v>59</x:v>
      </x:c>
      <x:c r="O197" s="28" t="s">
        <x:v>28</x:v>
      </x:c>
      <x:c r="P197" s="29" t="s">
        <x:v>29</x:v>
      </x:c>
    </x:row>
    <x:row r="198">
      <x:c r="A198" s="27">
        <x:v>1198</x:v>
      </x:c>
      <x:c r="B198" s="28" t="s">
        <x:v>1413</x:v>
      </x:c>
      <x:c r="C198" s="28" t="s">
        <x:v>1414</x:v>
      </x:c>
      <x:c r="D198" s="28" t="s">
        <x:v>18</x:v>
      </x:c>
      <x:c r="E198" s="28" t="s">
        <x:v>63</x:v>
      </x:c>
      <x:c r="F198" s="28" t="s">
        <x:v>1415</x:v>
      </x:c>
      <x:c r="G198" s="28" t="s">
        <x:v>1416</x:v>
      </x:c>
      <x:c r="H198" s="28" t="s">
        <x:v>1417</x:v>
      </x:c>
      <x:c r="I198" s="28" t="s">
        <x:v>1418</x:v>
      </x:c>
      <x:c r="J198" s="28" t="s">
        <x:v>1419</x:v>
      </x:c>
      <x:c r="K198" s="28" t="s">
        <x:v>25</x:v>
      </x:c>
      <x:c r="L198" s="28" t="s">
        <x:v>25</x:v>
      </x:c>
      <x:c r="M198" s="28" t="s">
        <x:v>26</x:v>
      </x:c>
      <x:c r="N198" s="28" t="s">
        <x:v>27</x:v>
      </x:c>
      <x:c r="O198" s="28" t="s">
        <x:v>28</x:v>
      </x:c>
      <x:c r="P198" s="29" t="s">
        <x:v>29</x:v>
      </x:c>
    </x:row>
    <x:row r="199">
      <x:c r="A199" s="27">
        <x:v>1199</x:v>
      </x:c>
      <x:c r="B199" s="28" t="s">
        <x:v>1420</x:v>
      </x:c>
      <x:c r="C199" s="28" t="s">
        <x:v>1421</x:v>
      </x:c>
      <x:c r="D199" s="28" t="s">
        <x:v>32</x:v>
      </x:c>
      <x:c r="E199" s="28" t="s">
        <x:v>72</x:v>
      </x:c>
      <x:c r="F199" s="28" t="s">
        <x:v>1422</x:v>
      </x:c>
      <x:c r="G199" s="28" t="s">
        <x:v>1423</x:v>
      </x:c>
      <x:c r="H199" s="28" t="s">
        <x:v>1424</x:v>
      </x:c>
      <x:c r="I199" s="28" t="s">
        <x:v>1425</x:v>
      </x:c>
      <x:c r="J199" s="28" t="s">
        <x:v>1426</x:v>
      </x:c>
      <x:c r="K199" s="28" t="s">
        <x:v>25</x:v>
      </x:c>
      <x:c r="L199" s="28" t="s">
        <x:v>25</x:v>
      </x:c>
      <x:c r="M199" s="28" t="s">
        <x:v>26</x:v>
      </x:c>
      <x:c r="N199" s="28" t="s">
        <x:v>39</x:v>
      </x:c>
      <x:c r="O199" s="28" t="s">
        <x:v>28</x:v>
      </x:c>
      <x:c r="P199" s="29" t="s">
        <x:v>29</x:v>
      </x:c>
    </x:row>
    <x:row r="200">
      <x:c r="A200" s="27">
        <x:v>1200</x:v>
      </x:c>
      <x:c r="B200" s="28" t="s">
        <x:v>1427</x:v>
      </x:c>
      <x:c r="C200" s="28" t="s">
        <x:v>1428</x:v>
      </x:c>
      <x:c r="D200" s="28" t="s">
        <x:v>42</x:v>
      </x:c>
      <x:c r="E200" s="28" t="s">
        <x:v>19</x:v>
      </x:c>
      <x:c r="F200" s="28" t="s">
        <x:v>1429</x:v>
      </x:c>
      <x:c r="G200" s="28" t="s">
        <x:v>1430</x:v>
      </x:c>
      <x:c r="H200" s="28" t="s">
        <x:v>1431</x:v>
      </x:c>
      <x:c r="I200" s="28" t="s">
        <x:v>1432</x:v>
      </x:c>
      <x:c r="J200" s="28" t="s">
        <x:v>1433</x:v>
      </x:c>
      <x:c r="K200" s="28" t="s">
        <x:v>25</x:v>
      </x:c>
      <x:c r="L200" s="28" t="s">
        <x:v>25</x:v>
      </x:c>
      <x:c r="M200" s="28" t="s">
        <x:v>26</x:v>
      </x:c>
      <x:c r="N200" s="28" t="s">
        <x:v>49</x:v>
      </x:c>
      <x:c r="O200" s="28" t="s">
        <x:v>28</x:v>
      </x:c>
      <x:c r="P200" s="29" t="s">
        <x:v>29</x:v>
      </x:c>
    </x:row>
    <x:row r="201">
      <x:c r="A201" s="30">
        <x:v>1201</x:v>
      </x:c>
      <x:c r="B201" s="31" t="s">
        <x:v>1434</x:v>
      </x:c>
      <x:c r="C201" s="31" t="s">
        <x:v>1435</x:v>
      </x:c>
      <x:c r="D201" s="31" t="s">
        <x:v>52</x:v>
      </x:c>
      <x:c r="E201" s="31" t="s">
        <x:v>33</x:v>
      </x:c>
      <x:c r="F201" s="31" t="s">
        <x:v>1436</x:v>
      </x:c>
      <x:c r="G201" s="31" t="s">
        <x:v>1437</x:v>
      </x:c>
      <x:c r="H201" s="31" t="s">
        <x:v>1438</x:v>
      </x:c>
      <x:c r="I201" s="31" t="s">
        <x:v>1439</x:v>
      </x:c>
      <x:c r="J201" s="31" t="s">
        <x:v>1440</x:v>
      </x:c>
      <x:c r="K201" s="31" t="s">
        <x:v>25</x:v>
      </x:c>
      <x:c r="L201" s="31" t="s">
        <x:v>25</x:v>
      </x:c>
      <x:c r="M201" s="31" t="s">
        <x:v>26</x:v>
      </x:c>
      <x:c r="N201" s="31" t="s">
        <x:v>59</x:v>
      </x:c>
      <x:c r="O201" s="31" t="s">
        <x:v>28</x:v>
      </x:c>
      <x:c r="P201" s="32" t="s">
        <x:v>29</x:v>
      </x:c>
    </x:row>
  </x:sheetData>
  <x:pageMargins left="0.7" right="0.7" top="0.75" bottom="0.75" header="0.3" footer="0.3"/>
</x:worksheet>
</file>

<file path=xl/worksheets/sheet2.xml><?xml version="1.0" encoding="utf-8"?>
<x:worksheet xmlns:x="http://schemas.openxmlformats.org/spreadsheetml/2006/main">
  <x:sheetFormatPr defaultRowHeight="14.399999618530273"/>
  <x:cols>
    <x:col min="1" max="1" width="40" hidden="0" customWidth="1"/>
  </x:cols>
  <x:sheetData>
    <x:row r="1">
      <x:c r="A1" s="647" t="s">
        <x:v>1441</x:v>
      </x:c>
    </x:row>
    <x:row r="2">
      <x:c r="A2" s="648" t="s">
        <x:v>1442</x:v>
      </x:c>
    </x:row>
    <x:row r="3">
      <x:c r="A3" s="648" t="s">
        <x:v>1443</x:v>
      </x:c>
    </x:row>
    <x:row r="4">
      <x:c r="A4" s="648" t="s">
        <x:v>1444</x:v>
      </x:c>
    </x:row>
    <x:row r="5">
      <x:c r="A5" s="648" t="s">
        <x:v>1445</x:v>
      </x:c>
    </x:row>
    <x:row r="6">
      <x:c r="A6" s="649" t="s">
        <x:v>1446</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6" hidden="0" customWidth="1"/>
    <x:col min="3" max="3" width="18" hidden="0" customWidth="1"/>
    <x:col min="4" max="4" width="12" hidden="0" customWidth="1"/>
    <x:col min="5" max="5" width="16" hidden="0" customWidth="1"/>
    <x:col min="6" max="6" width="18" hidden="0" customWidth="1"/>
    <x:col min="7" max="7" width="12" hidden="0" customWidth="1"/>
    <x:col min="8" max="8" width="16" hidden="0" customWidth="1"/>
    <x:col min="9" max="9" width="18" hidden="0" customWidth="1"/>
    <x:col min="10" max="10" width="12" hidden="0" customWidth="1"/>
    <x:col min="11" max="11" width="16" hidden="0" customWidth="1"/>
    <x:col min="12" max="12" width="18" hidden="0" customWidth="1"/>
    <x:col min="14" max="14" width="26" hidden="0" customWidth="1"/>
    <x:col min="15" max="15" width="16" hidden="0" customWidth="1"/>
    <x:col min="17" max="17" width="20" hidden="0" customWidth="1"/>
    <x:col min="18" max="18" width="12" hidden="0" customWidth="1"/>
  </x:cols>
  <x:sheetData>
    <x:row r="1" ht="28" customHeight="1">
      <x:c r="A1" s="565" t="str">
        <x:v>People Data Migration Readiness — Data Quality Assessment</x:v>
      </x:c>
      <x:c r="B1" s="565"/>
      <x:c r="C1" s="565"/>
      <x:c r="D1" s="565"/>
      <x:c r="E1" s="565"/>
      <x:c r="F1" s="565"/>
      <x:c r="G1" s="565"/>
      <x:c r="H1" s="565"/>
      <x:c r="I1" s="565"/>
      <x:c r="J1" s="565"/>
      <x:c r="K1" s="565"/>
      <x:c r="L1" s="565"/>
      <x:c r="N1" s="499" t="str">
        <x:v>Issue Category</x:v>
      </x:c>
      <x:c r="O1" s="501" t="str">
        <x:v>Affected Records</x:v>
      </x:c>
      <x:c r="Q1" s="499" t="str">
        <x:v>Readiness Status</x:v>
      </x:c>
      <x:c r="R1" s="501" t="str">
        <x:v>Records</x:v>
      </x:c>
    </x:row>
    <x:row r="2" ht="28" customHeight="1">
      <x:c r="A2" s="565"/>
      <x:c r="B2" s="565"/>
      <x:c r="C2" s="565"/>
      <x:c r="D2" s="565"/>
      <x:c r="E2" s="565"/>
      <x:c r="F2" s="565"/>
      <x:c r="G2" s="565"/>
      <x:c r="H2" s="565"/>
      <x:c r="I2" s="565"/>
      <x:c r="J2" s="565"/>
      <x:c r="K2" s="565"/>
      <x:c r="L2" s="565"/>
      <x:c r="N2" s="27" t="str">
        <x:v>Missing Email</x:v>
      </x:c>
      <x:c r="O2" s="29" t="n">
        <x:v>6</x:v>
      </x:c>
      <x:c r="Q2" s="27" t="str">
        <x:v>Ready</x:v>
      </x:c>
      <x:c r="R2" s="29" t="n">
        <x:v>189</x:v>
      </x:c>
    </x:row>
    <x:row r="3" ht="22" customHeight="1">
      <x:c r="A3" s="566" t="str">
        <x:v>Project APEX | Controlled analytical assessment of the uploaded People_Data dataset</x:v>
      </x:c>
      <x:c r="B3" s="566"/>
      <x:c r="C3" s="566"/>
      <x:c r="D3" s="566"/>
      <x:c r="E3" s="566"/>
      <x:c r="F3" s="566"/>
      <x:c r="G3" s="566"/>
      <x:c r="H3" s="566"/>
      <x:c r="I3" s="566"/>
      <x:c r="J3" s="566"/>
      <x:c r="K3" s="566"/>
      <x:c r="L3" s="566"/>
      <x:c r="N3" s="27" t="str">
        <x:v>Duplicate Flag</x:v>
      </x:c>
      <x:c r="O3" s="29" t="n">
        <x:v>5</x:v>
      </x:c>
      <x:c r="Q3" s="30" t="str">
        <x:v>Hold</x:v>
      </x:c>
      <x:c r="R3" s="32" t="n">
        <x:v>11</x:v>
      </x:c>
    </x:row>
    <x:row r="4">
      <x:c r="A4" s="45"/>
      <x:c r="B4" s="45"/>
      <x:c r="C4" s="45"/>
      <x:c r="D4" s="45"/>
      <x:c r="E4" s="45"/>
      <x:c r="F4" s="45"/>
      <x:c r="G4" s="45"/>
      <x:c r="H4" s="45"/>
      <x:c r="I4" s="45"/>
      <x:c r="J4" s="45"/>
      <x:c r="K4" s="45"/>
      <x:c r="L4" s="45"/>
      <x:c r="N4" s="27" t="str">
        <x:v>Pending Source of Truth</x:v>
      </x:c>
      <x:c r="O4" s="29" t="n">
        <x:v>11</x:v>
      </x:c>
    </x:row>
    <x:row r="5">
      <x:c r="A5" s="567" t="str">
        <x:v>Document Control</x:v>
      </x:c>
      <x:c r="B5" s="567"/>
      <x:c r="C5" s="567"/>
      <x:c r="D5" s="567"/>
      <x:c r="E5" s="567"/>
      <x:c r="F5" s="567"/>
      <x:c r="G5" s="567" t="str">
        <x:v>Assessment Decision</x:v>
      </x:c>
      <x:c r="H5" s="567"/>
      <x:c r="I5" s="567"/>
      <x:c r="J5" s="567"/>
      <x:c r="K5" s="567"/>
      <x:c r="L5" s="567"/>
      <x:c r="N5" s="30" t="str">
        <x:v>Pending Validation</x:v>
      </x:c>
      <x:c r="O5" s="32" t="n">
        <x:v>11</x:v>
      </x:c>
    </x:row>
    <x:row r="6">
      <x:c r="A6" s="68" t="str">
        <x:v>Document ID</x:v>
      </x:c>
      <x:c r="B6" s="42" t="str">
        <x:v>APEX-DQ-001</x:v>
      </x:c>
      <x:c r="C6" s="92" t="str">
        <x:v>Version</x:v>
      </x:c>
      <x:c r="D6" s="42" t="str">
        <x:v>1.0.0</x:v>
      </x:c>
      <x:c r="E6" s="92" t="str">
        <x:v>Status</x:v>
      </x:c>
      <x:c r="F6" s="43" t="str">
        <x:v>Draft Assessment</x:v>
      </x:c>
      <x:c r="G6" s="129" t="str">
        <x:v>CONDITIONALLY READY — HOLD 11 RECORDS</x:v>
      </x:c>
      <x:c r="H6" s="130"/>
      <x:c r="I6" s="130"/>
      <x:c r="J6" s="130"/>
      <x:c r="K6" s="130"/>
      <x:c r="L6" s="131"/>
    </x:row>
    <x:row r="7">
      <x:c r="A7" s="69" t="str">
        <x:v>Owner</x:v>
      </x:c>
      <x:c r="B7" s="45" t="str">
        <x:v>U. S. Ayuba / Product Owner</x:v>
      </x:c>
      <x:c r="C7" s="93" t="str">
        <x:v>Author</x:v>
      </x:c>
      <x:c r="D7" s="45" t="str">
        <x:v>AYUB ANALYTICS™</x:v>
      </x:c>
      <x:c r="E7" s="93" t="str">
        <x:v>Classification</x:v>
      </x:c>
      <x:c r="F7" s="46" t="str">
        <x:v>Internal – Controlled</x:v>
      </x:c>
      <x:c r="G7" s="132"/>
      <x:c r="H7" s="133"/>
      <x:c r="I7" s="133"/>
      <x:c r="J7" s="133"/>
      <x:c r="K7" s="133"/>
      <x:c r="L7" s="134"/>
    </x:row>
    <x:row r="8">
      <x:c r="A8" s="70" t="str">
        <x:v>Assessment Date</x:v>
      </x:c>
      <x:c r="B8" s="107" t="n">
        <x:v>46240</x:v>
      </x:c>
      <x:c r="C8" s="94" t="str">
        <x:v>Source Basis</x:v>
      </x:c>
      <x:c r="D8" s="48" t="str">
        <x:v>Uploaded People_Data workbook</x:v>
      </x:c>
      <x:c r="E8" s="94" t="str">
        <x:v>Records Assessed</x:v>
      </x:c>
      <x:c r="F8" s="49" t="n">
        <x:v>200</x:v>
      </x:c>
      <x:c r="G8" s="172" t="str">
        <x:v>189 records are migration-ready; 11 require remediation and control validation before final load.</x:v>
      </x:c>
      <x:c r="H8" s="173"/>
      <x:c r="I8" s="173"/>
      <x:c r="J8" s="173"/>
      <x:c r="K8" s="173"/>
      <x:c r="L8" s="174"/>
    </x:row>
    <x:row r="9">
      <x:c r="A9" s="45"/>
      <x:c r="B9" s="45"/>
      <x:c r="C9" s="45"/>
      <x:c r="D9" s="45"/>
      <x:c r="E9" s="45"/>
      <x:c r="F9" s="45"/>
      <x:c r="G9" s="45"/>
      <x:c r="H9" s="45"/>
      <x:c r="I9" s="45"/>
      <x:c r="J9" s="45"/>
      <x:c r="K9" s="45"/>
      <x:c r="L9" s="45"/>
    </x:row>
    <x:row r="10">
      <x:c r="A10" s="199" t="str">
        <x:v>Total Records</x:v>
      </x:c>
      <x:c r="B10" s="200"/>
      <x:c r="C10" s="201"/>
      <x:c r="D10" s="199" t="str">
        <x:v>Migration-Ready</x:v>
      </x:c>
      <x:c r="E10" s="200"/>
      <x:c r="F10" s="201"/>
      <x:c r="G10" s="199" t="str">
        <x:v>Records on Hold</x:v>
      </x:c>
      <x:c r="H10" s="200"/>
      <x:c r="I10" s="201"/>
      <x:c r="J10" s="199" t="str">
        <x:v>Readiness Rate</x:v>
      </x:c>
      <x:c r="K10" s="200"/>
      <x:c r="L10" s="201"/>
    </x:row>
    <x:row r="11">
      <x:c r="A11" s="568" t="n">
        <x:v>200</x:v>
      </x:c>
      <x:c r="B11" s="569"/>
      <x:c r="C11" s="570"/>
      <x:c r="D11" s="571" t="n">
        <x:v>189</x:v>
      </x:c>
      <x:c r="E11" s="572"/>
      <x:c r="F11" s="573"/>
      <x:c r="G11" s="574" t="n">
        <x:v>11</x:v>
      </x:c>
      <x:c r="H11" s="575"/>
      <x:c r="I11" s="576"/>
      <x:c r="J11" s="577" t="n">
        <x:v>0.945</x:v>
      </x:c>
      <x:c r="K11" s="578"/>
      <x:c r="L11" s="579"/>
    </x:row>
    <x:row r="12">
      <x:c r="A12" s="580"/>
      <x:c r="B12" s="581"/>
      <x:c r="C12" s="582"/>
      <x:c r="D12" s="583"/>
      <x:c r="E12" s="584"/>
      <x:c r="F12" s="585"/>
      <x:c r="G12" s="586"/>
      <x:c r="H12" s="587"/>
      <x:c r="I12" s="588"/>
      <x:c r="J12" s="589"/>
      <x:c r="K12" s="590"/>
      <x:c r="L12" s="591"/>
    </x:row>
    <x:row r="13">
      <x:c r="A13" s="45"/>
      <x:c r="B13" s="45"/>
      <x:c r="C13" s="45"/>
      <x:c r="D13" s="45"/>
      <x:c r="E13" s="45"/>
      <x:c r="F13" s="45"/>
      <x:c r="G13" s="45"/>
      <x:c r="H13" s="45"/>
      <x:c r="I13" s="45"/>
      <x:c r="J13" s="45"/>
      <x:c r="K13" s="45"/>
      <x:c r="L13" s="45"/>
    </x:row>
    <x:row r="14">
      <x:c r="A14" s="199" t="str">
        <x:v>Missing Email</x:v>
      </x:c>
      <x:c r="B14" s="200"/>
      <x:c r="C14" s="201"/>
      <x:c r="D14" s="199" t="str">
        <x:v>Duplicate-Flagged</x:v>
      </x:c>
      <x:c r="E14" s="200"/>
      <x:c r="F14" s="201"/>
      <x:c r="G14" s="199" t="str">
        <x:v>Pending Source of Truth</x:v>
      </x:c>
      <x:c r="H14" s="200"/>
      <x:c r="I14" s="201"/>
      <x:c r="J14" s="199" t="str">
        <x:v>Pending Validation</x:v>
      </x:c>
      <x:c r="K14" s="200"/>
      <x:c r="L14" s="201"/>
    </x:row>
    <x:row r="15">
      <x:c r="A15" s="574" t="n">
        <x:v>6</x:v>
      </x:c>
      <x:c r="B15" s="575"/>
      <x:c r="C15" s="576"/>
      <x:c r="D15" s="574" t="n">
        <x:v>5</x:v>
      </x:c>
      <x:c r="E15" s="575"/>
      <x:c r="F15" s="576"/>
      <x:c r="G15" s="592" t="n">
        <x:v>11</x:v>
      </x:c>
      <x:c r="H15" s="593"/>
      <x:c r="I15" s="594"/>
      <x:c r="J15" s="592" t="n">
        <x:v>11</x:v>
      </x:c>
      <x:c r="K15" s="593"/>
      <x:c r="L15" s="594"/>
    </x:row>
    <x:row r="16">
      <x:c r="A16" s="586"/>
      <x:c r="B16" s="587"/>
      <x:c r="C16" s="588"/>
      <x:c r="D16" s="586"/>
      <x:c r="E16" s="587"/>
      <x:c r="F16" s="588"/>
      <x:c r="G16" s="595"/>
      <x:c r="H16" s="596"/>
      <x:c r="I16" s="597"/>
      <x:c r="J16" s="595"/>
      <x:c r="K16" s="596"/>
      <x:c r="L16" s="597"/>
    </x:row>
    <x:row r="17">
      <x:c r="A17" s="45"/>
      <x:c r="B17" s="45"/>
      <x:c r="C17" s="45"/>
      <x:c r="D17" s="45"/>
      <x:c r="E17" s="45"/>
      <x:c r="F17" s="45"/>
      <x:c r="G17" s="45"/>
      <x:c r="H17" s="45"/>
      <x:c r="I17" s="45"/>
      <x:c r="J17" s="45"/>
      <x:c r="K17" s="45"/>
      <x:c r="L17" s="45"/>
    </x:row>
    <x:row r="18">
      <x:c r="A18" s="567" t="str">
        <x:v>Executive Assessment</x:v>
      </x:c>
      <x:c r="B18" s="567"/>
      <x:c r="C18" s="567"/>
      <x:c r="D18" s="567"/>
      <x:c r="E18" s="567"/>
      <x:c r="F18" s="567"/>
      <x:c r="G18" s="567"/>
      <x:c r="H18" s="567"/>
      <x:c r="I18" s="567"/>
      <x:c r="J18" s="567"/>
      <x:c r="K18" s="567"/>
      <x:c r="L18" s="567"/>
    </x:row>
    <x:row r="19" ht="36" customHeight="1">
      <x:c r="A19" s="443" t="str">
        <x:v>The dataset is 94.5% migration-ready. All core identifiers are populated and unique across Employee_ID, AD_Username, BambooHR_ID, Maconomy_ID and Xytech_ID. The migration hold is concentrated in 11 records: six records have missing email values and five are explicitly marked as duplicates. Each of the 11 records is also marked Issue, Pending source of truth and Pending validation. No duplicate values were detected across the assessed key fields; therefore the basis for the five Duplicate_Flag records must be reconciled against source-system evidence before deduplication.</x:v>
      </x:c>
      <x:c r="B19" s="444"/>
      <x:c r="C19" s="444"/>
      <x:c r="D19" s="444"/>
      <x:c r="E19" s="444"/>
      <x:c r="F19" s="444"/>
      <x:c r="G19" s="444"/>
      <x:c r="H19" s="444"/>
      <x:c r="I19" s="444"/>
      <x:c r="J19" s="444"/>
      <x:c r="K19" s="444"/>
      <x:c r="L19" s="445"/>
    </x:row>
    <x:row r="20" ht="36" customHeight="1">
      <x:c r="A20" s="446"/>
      <x:c r="B20" s="447"/>
      <x:c r="C20" s="447"/>
      <x:c r="D20" s="447"/>
      <x:c r="E20" s="447"/>
      <x:c r="F20" s="447"/>
      <x:c r="G20" s="447"/>
      <x:c r="H20" s="447"/>
      <x:c r="I20" s="447"/>
      <x:c r="J20" s="447"/>
      <x:c r="K20" s="447"/>
      <x:c r="L20" s="448"/>
    </x:row>
    <x:row r="21">
      <x:c r="A21" s="45"/>
      <x:c r="B21" s="45"/>
      <x:c r="C21" s="45"/>
      <x:c r="D21" s="45"/>
      <x:c r="E21" s="45"/>
      <x:c r="F21" s="45"/>
      <x:c r="G21" s="45"/>
      <x:c r="H21" s="45"/>
      <x:c r="I21" s="45"/>
      <x:c r="J21" s="45"/>
      <x:c r="K21" s="45"/>
      <x:c r="L21" s="45"/>
    </x:row>
    <x:row r="22">
      <x:c r="A22" s="567" t="str">
        <x:v>Key Findings</x:v>
      </x:c>
      <x:c r="B22" s="567"/>
      <x:c r="C22" s="567"/>
      <x:c r="D22" s="567"/>
      <x:c r="E22" s="567"/>
      <x:c r="F22" s="567"/>
      <x:c r="G22" s="567" t="str">
        <x:v>Priority Actions</x:v>
      </x:c>
      <x:c r="H22" s="567"/>
      <x:c r="I22" s="567"/>
      <x:c r="J22" s="567"/>
      <x:c r="K22" s="567"/>
      <x:c r="L22" s="567"/>
    </x:row>
    <x:row r="23" ht="34" customHeight="1">
      <x:c r="A23" s="68" t="str">
        <x:v>1</x:v>
      </x:c>
      <x:c r="B23" s="92" t="str">
        <x:v>Completeness</x:v>
      </x:c>
      <x:c r="C23" s="42" t="str">
        <x:v>Email is the only incomplete field: 6 missing values (97.0% complete).</x:v>
      </x:c>
      <x:c r="D23" s="42" t="str"/>
      <x:c r="E23" s="42" t="str"/>
      <x:c r="F23" s="43" t="str"/>
      <x:c r="G23" s="68" t="str">
        <x:v>P1</x:v>
      </x:c>
      <x:c r="H23" s="92" t="str">
        <x:v>Duplicate resolution</x:v>
      </x:c>
      <x:c r="I23" s="42" t="str">
        <x:v>Investigate the 5 duplicate-flagged records and document the surviving master record.</x:v>
      </x:c>
      <x:c r="J23" s="42" t="str"/>
      <x:c r="K23" s="42" t="str"/>
      <x:c r="L23" s="43" t="str"/>
    </x:row>
    <x:row r="24" ht="34" customHeight="1">
      <x:c r="A24" s="69" t="str">
        <x:v>2</x:v>
      </x:c>
      <x:c r="B24" s="93" t="str">
        <x:v>Uniqueness</x:v>
      </x:c>
      <x:c r="C24" s="45" t="str">
        <x:v>No actual duplicates detected in Employee_ID, Email, AD_Username or source-system IDs.</x:v>
      </x:c>
      <x:c r="D24" s="45" t="str"/>
      <x:c r="E24" s="45" t="str"/>
      <x:c r="F24" s="46" t="str"/>
      <x:c r="G24" s="69" t="str">
        <x:v>P1</x:v>
      </x:c>
      <x:c r="H24" s="93" t="str">
        <x:v>Email remediation</x:v>
      </x:c>
      <x:c r="I24" s="45" t="str">
        <x:v>Populate and validate the 6 missing email values from the authoritative source.</x:v>
      </x:c>
      <x:c r="J24" s="45" t="str"/>
      <x:c r="K24" s="45" t="str"/>
      <x:c r="L24" s="46" t="str"/>
    </x:row>
    <x:row r="25" ht="34" customHeight="1">
      <x:c r="A25" s="69" t="str">
        <x:v>3</x:v>
      </x:c>
      <x:c r="B25" s="93" t="str">
        <x:v>Consistency</x:v>
      </x:c>
      <x:c r="C25" s="45" t="str">
        <x:v>The 11 issue records consistently align across DQ status, source-of-truth and validation controls.</x:v>
      </x:c>
      <x:c r="D25" s="45" t="str"/>
      <x:c r="E25" s="45" t="str"/>
      <x:c r="F25" s="46" t="str"/>
      <x:c r="G25" s="69" t="str">
        <x:v>P1</x:v>
      </x:c>
      <x:c r="H25" s="93" t="str">
        <x:v>Control closure</x:v>
      </x:c>
      <x:c r="I25" s="45" t="str">
        <x:v>Confirm source of truth and complete validation for all 11 held records.</x:v>
      </x:c>
      <x:c r="J25" s="45" t="str"/>
      <x:c r="K25" s="45" t="str"/>
      <x:c r="L25" s="46" t="str"/>
    </x:row>
    <x:row r="26" ht="34" customHeight="1">
      <x:c r="A26" s="70" t="str">
        <x:v>4</x:v>
      </x:c>
      <x:c r="B26" s="94" t="str">
        <x:v>Migration risk</x:v>
      </x:c>
      <x:c r="C26" s="48" t="str">
        <x:v>Unresolved duplicate flags and missing email values prevent unconditional migration sign-off.</x:v>
      </x:c>
      <x:c r="D26" s="48" t="str"/>
      <x:c r="E26" s="48" t="str"/>
      <x:c r="F26" s="49" t="str"/>
      <x:c r="G26" s="70" t="str">
        <x:v>P2</x:v>
      </x:c>
      <x:c r="H26" s="94" t="str">
        <x:v>Release assurance</x:v>
      </x:c>
      <x:c r="I26" s="48" t="str">
        <x:v>Re-run the rules and obtain Data Steward / business-owner sign-off before final load.</x:v>
      </x:c>
      <x:c r="J26" s="48" t="str"/>
      <x:c r="K26" s="48" t="str"/>
      <x:c r="L26" s="49" t="str"/>
    </x:row>
    <x:row r="27">
      <x:c r="A27" s="45"/>
      <x:c r="B27" s="45"/>
      <x:c r="C27" s="45"/>
      <x:c r="D27" s="45"/>
      <x:c r="E27" s="45"/>
      <x:c r="F27" s="45"/>
      <x:c r="G27" s="45"/>
      <x:c r="H27" s="45"/>
      <x:c r="I27" s="45"/>
      <x:c r="J27" s="45"/>
      <x:c r="K27" s="45"/>
      <x:c r="L27" s="45"/>
    </x:row>
    <x:row r="28">
      <x:c r="A28" s="45"/>
      <x:c r="B28" s="45"/>
      <x:c r="C28" s="45"/>
      <x:c r="D28" s="45"/>
      <x:c r="E28" s="45"/>
      <x:c r="F28" s="45"/>
      <x:c r="G28" s="45"/>
      <x:c r="H28" s="45"/>
      <x:c r="I28" s="45"/>
      <x:c r="J28" s="45"/>
      <x:c r="K28" s="45"/>
      <x:c r="L28" s="45"/>
    </x:row>
    <x:row r="29">
      <x:c r="A29" s="45"/>
      <x:c r="B29" s="45"/>
      <x:c r="C29" s="45"/>
      <x:c r="D29" s="45"/>
      <x:c r="E29" s="45"/>
      <x:c r="F29" s="45"/>
      <x:c r="G29" s="45"/>
      <x:c r="H29" s="45"/>
      <x:c r="I29" s="45"/>
      <x:c r="J29" s="45"/>
      <x:c r="K29" s="45"/>
      <x:c r="L29" s="45"/>
    </x:row>
    <x:row r="30">
      <x:c r="A30" s="45"/>
      <x:c r="B30" s="45"/>
      <x:c r="C30" s="45"/>
      <x:c r="D30" s="45"/>
      <x:c r="E30" s="45"/>
      <x:c r="F30" s="45"/>
      <x:c r="G30" s="45"/>
      <x:c r="H30" s="45"/>
      <x:c r="I30" s="45"/>
      <x:c r="J30" s="45"/>
      <x:c r="K30" s="45"/>
      <x:c r="L30" s="45"/>
    </x:row>
    <x:row r="31">
      <x:c r="A31" s="45"/>
      <x:c r="B31" s="45"/>
      <x:c r="C31" s="45"/>
      <x:c r="D31" s="45"/>
      <x:c r="E31" s="45"/>
      <x:c r="F31" s="45"/>
      <x:c r="G31" s="45"/>
      <x:c r="H31" s="45"/>
      <x:c r="I31" s="45"/>
      <x:c r="J31" s="45"/>
      <x:c r="K31" s="45"/>
      <x:c r="L31" s="45"/>
    </x:row>
    <x:row r="32">
      <x:c r="A32" s="45"/>
      <x:c r="B32" s="45"/>
      <x:c r="C32" s="45"/>
      <x:c r="D32" s="45"/>
      <x:c r="E32" s="45"/>
      <x:c r="F32" s="45"/>
      <x:c r="G32" s="45"/>
      <x:c r="H32" s="45"/>
      <x:c r="I32" s="45"/>
      <x:c r="J32" s="45"/>
      <x:c r="K32" s="45"/>
      <x:c r="L32" s="45"/>
    </x:row>
    <x:row r="33">
      <x:c r="A33" s="45"/>
      <x:c r="B33" s="45"/>
      <x:c r="C33" s="45"/>
      <x:c r="D33" s="45"/>
      <x:c r="E33" s="45"/>
      <x:c r="F33" s="45"/>
      <x:c r="G33" s="45"/>
      <x:c r="H33" s="45"/>
      <x:c r="I33" s="45"/>
      <x:c r="J33" s="45"/>
      <x:c r="K33" s="45"/>
      <x:c r="L33" s="45"/>
    </x:row>
    <x:row r="34">
      <x:c r="A34" s="45"/>
      <x:c r="B34" s="45"/>
      <x:c r="C34" s="45"/>
      <x:c r="D34" s="45"/>
      <x:c r="E34" s="45"/>
      <x:c r="F34" s="45"/>
      <x:c r="G34" s="45"/>
      <x:c r="H34" s="45"/>
      <x:c r="I34" s="45"/>
      <x:c r="J34" s="45"/>
      <x:c r="K34" s="45"/>
      <x:c r="L34" s="45"/>
    </x:row>
    <x:row r="35">
      <x:c r="A35" s="45"/>
      <x:c r="B35" s="45"/>
      <x:c r="C35" s="45"/>
      <x:c r="D35" s="45"/>
      <x:c r="E35" s="45"/>
      <x:c r="F35" s="45"/>
      <x:c r="G35" s="45"/>
      <x:c r="H35" s="45"/>
      <x:c r="I35" s="45"/>
      <x:c r="J35" s="45"/>
      <x:c r="K35" s="45"/>
      <x:c r="L35" s="45"/>
    </x:row>
    <x:row r="36">
      <x:c r="A36" s="45"/>
      <x:c r="B36" s="45"/>
      <x:c r="C36" s="45"/>
      <x:c r="D36" s="45"/>
      <x:c r="E36" s="45"/>
      <x:c r="F36" s="45"/>
      <x:c r="G36" s="45"/>
      <x:c r="H36" s="45"/>
      <x:c r="I36" s="45"/>
      <x:c r="J36" s="45"/>
      <x:c r="K36" s="45"/>
      <x:c r="L36" s="45"/>
    </x:row>
    <x:row r="37">
      <x:c r="A37" s="45"/>
      <x:c r="B37" s="45"/>
      <x:c r="C37" s="45"/>
      <x:c r="D37" s="45"/>
      <x:c r="E37" s="45"/>
      <x:c r="F37" s="45"/>
      <x:c r="G37" s="45"/>
      <x:c r="H37" s="45"/>
      <x:c r="I37" s="45"/>
      <x:c r="J37" s="45"/>
      <x:c r="K37" s="45"/>
      <x:c r="L37" s="45"/>
    </x:row>
    <x:row r="38">
      <x:c r="A38" s="45"/>
      <x:c r="B38" s="45"/>
      <x:c r="C38" s="45"/>
      <x:c r="D38" s="45"/>
      <x:c r="E38" s="45"/>
      <x:c r="F38" s="45"/>
      <x:c r="G38" s="45"/>
      <x:c r="H38" s="45"/>
      <x:c r="I38" s="45"/>
      <x:c r="J38" s="45"/>
      <x:c r="K38" s="45"/>
      <x:c r="L38" s="45"/>
    </x:row>
    <x:row r="39">
      <x:c r="A39" s="45"/>
      <x:c r="B39" s="45"/>
      <x:c r="C39" s="45"/>
      <x:c r="D39" s="45"/>
      <x:c r="E39" s="45"/>
      <x:c r="F39" s="45"/>
      <x:c r="G39" s="45"/>
      <x:c r="H39" s="45"/>
      <x:c r="I39" s="45"/>
      <x:c r="J39" s="45"/>
      <x:c r="K39" s="45"/>
      <x:c r="L39" s="45"/>
    </x:row>
    <x:row r="40">
      <x:c r="A40" s="45"/>
      <x:c r="B40" s="45"/>
      <x:c r="C40" s="45"/>
      <x:c r="D40" s="45"/>
      <x:c r="E40" s="45"/>
      <x:c r="F40" s="45"/>
      <x:c r="G40" s="45"/>
      <x:c r="H40" s="45"/>
      <x:c r="I40" s="45"/>
      <x:c r="J40" s="45"/>
      <x:c r="K40" s="45"/>
      <x:c r="L40" s="45"/>
    </x:row>
    <x:row r="41">
      <x:c r="A41" s="45"/>
      <x:c r="B41" s="45"/>
      <x:c r="C41" s="45"/>
      <x:c r="D41" s="45"/>
      <x:c r="E41" s="45"/>
      <x:c r="F41" s="45"/>
      <x:c r="G41" s="45"/>
      <x:c r="H41" s="45"/>
      <x:c r="I41" s="45"/>
      <x:c r="J41" s="45"/>
      <x:c r="K41" s="45"/>
      <x:c r="L41" s="45"/>
    </x:row>
    <x:row r="42">
      <x:c r="A42" s="45"/>
      <x:c r="B42" s="45"/>
      <x:c r="C42" s="45"/>
      <x:c r="D42" s="45"/>
      <x:c r="E42" s="45"/>
      <x:c r="F42" s="45"/>
      <x:c r="G42" s="45"/>
      <x:c r="H42" s="45"/>
      <x:c r="I42" s="45"/>
      <x:c r="J42" s="45"/>
      <x:c r="K42" s="45"/>
      <x:c r="L42" s="45"/>
    </x:row>
    <x:row r="43">
      <x:c r="A43" s="45"/>
      <x:c r="B43" s="45"/>
      <x:c r="C43" s="45"/>
      <x:c r="D43" s="45"/>
      <x:c r="E43" s="45"/>
      <x:c r="F43" s="45"/>
      <x:c r="G43" s="45"/>
      <x:c r="H43" s="45"/>
      <x:c r="I43" s="45"/>
      <x:c r="J43" s="45"/>
      <x:c r="K43" s="45"/>
      <x:c r="L43" s="45"/>
    </x:row>
    <x:row r="44">
      <x:c r="A44" s="45"/>
      <x:c r="B44" s="45"/>
      <x:c r="C44" s="45"/>
      <x:c r="D44" s="45"/>
      <x:c r="E44" s="45"/>
      <x:c r="F44" s="45"/>
      <x:c r="G44" s="45"/>
      <x:c r="H44" s="45"/>
      <x:c r="I44" s="45"/>
      <x:c r="J44" s="45"/>
      <x:c r="K44" s="45"/>
      <x:c r="L44" s="45"/>
    </x:row>
    <x:row r="45">
      <x:c r="A45" s="45"/>
      <x:c r="B45" s="45"/>
      <x:c r="C45" s="45"/>
      <x:c r="D45" s="45"/>
      <x:c r="E45" s="45"/>
      <x:c r="F45" s="45"/>
      <x:c r="G45" s="45"/>
      <x:c r="H45" s="45"/>
      <x:c r="I45" s="45"/>
      <x:c r="J45" s="45"/>
      <x:c r="K45" s="45"/>
      <x:c r="L45" s="45"/>
    </x:row>
  </x:sheetData>
  <x:mergeCells>
    <x:mergeCell ref="A1:L2"/>
    <x:mergeCell ref="A3:L3"/>
    <x:mergeCell ref="A5:F5"/>
    <x:mergeCell ref="G5:L5"/>
    <x:mergeCell ref="G6:L7"/>
    <x:mergeCell ref="G8:L8"/>
    <x:mergeCell ref="A10:C10"/>
    <x:mergeCell ref="A11:C12"/>
    <x:mergeCell ref="D10:F10"/>
    <x:mergeCell ref="D11:F12"/>
    <x:mergeCell ref="G10:I10"/>
    <x:mergeCell ref="G11:I12"/>
    <x:mergeCell ref="J10:L10"/>
    <x:mergeCell ref="J11:L12"/>
    <x:mergeCell ref="A14:C14"/>
    <x:mergeCell ref="A15:C16"/>
    <x:mergeCell ref="D14:F14"/>
    <x:mergeCell ref="D15:F16"/>
    <x:mergeCell ref="G14:I14"/>
    <x:mergeCell ref="G15:I16"/>
    <x:mergeCell ref="J14:L14"/>
    <x:mergeCell ref="J15:L16"/>
    <x:mergeCell ref="A18:L18"/>
    <x:mergeCell ref="A19:L20"/>
    <x:mergeCell ref="A22:F22"/>
    <x:mergeCell ref="G22:L22"/>
    <x:mergeCell ref="C23:F23"/>
    <x:mergeCell ref="I23:L23"/>
    <x:mergeCell ref="C24:F24"/>
    <x:mergeCell ref="I24:L24"/>
    <x:mergeCell ref="C25:F25"/>
    <x:mergeCell ref="I25:L25"/>
    <x:mergeCell ref="C26:F26"/>
    <x:mergeCell ref="I26:L26"/>
  </x:mergeCells>
  <x:pageMargins left="0.7" right="0.7" top="0.75" bottom="0.75" header="0.3" footer="0.3"/>
  <x:drawing xmlns:r="http://schemas.openxmlformats.org/officeDocument/2006/relationships" r:id="Re466e3a4174b4381"/>
</x:worksheet>
</file>

<file path=xl/worksheets/sheet4.xml><?xml version="1.0" encoding="utf-8"?>
<x:worksheet xmlns:x="http://schemas.openxmlformats.org/spreadsheetml/2006/main">
  <x:sheetFormatPr defaultRowHeight="15"/>
  <x:cols>
    <x:col min="1" max="1" width="20" hidden="0" customWidth="1"/>
    <x:col min="2" max="2" width="14" hidden="0" customWidth="1"/>
    <x:col min="3" max="3" width="10" hidden="0" customWidth="1"/>
    <x:col min="4" max="4" width="11" hidden="0" customWidth="1"/>
    <x:col min="5" max="5" width="10" hidden="0" customWidth="1"/>
    <x:col min="6" max="6" width="15" hidden="0" customWidth="1"/>
    <x:col min="7" max="7" width="11" hidden="0" customWidth="1"/>
    <x:col min="8" max="8" width="15" hidden="0" customWidth="1"/>
    <x:col min="9" max="9" width="16" hidden="0" customWidth="1"/>
    <x:col min="10" max="10" width="13" hidden="0" customWidth="1"/>
    <x:col min="11" max="11" width="55" hidden="0" customWidth="1"/>
  </x:cols>
  <x:sheetData>
    <x:row r="1">
      <x:c r="A1" s="5" t="str">
        <x:v>Field-Level Data Quality Profile</x:v>
      </x:c>
      <x:c r="B1" s="5"/>
      <x:c r="C1" s="5"/>
      <x:c r="D1" s="5"/>
      <x:c r="E1" s="5"/>
      <x:c r="F1" s="5"/>
      <x:c r="G1" s="5"/>
      <x:c r="H1" s="5"/>
      <x:c r="I1" s="5"/>
      <x:c r="J1" s="5"/>
      <x:c r="K1" s="5"/>
    </x:row>
    <x:row r="2">
      <x:c r="A2" s="5"/>
      <x:c r="B2" s="5"/>
      <x:c r="C2" s="5"/>
      <x:c r="D2" s="5"/>
      <x:c r="E2" s="5"/>
      <x:c r="F2" s="5"/>
      <x:c r="G2" s="5"/>
      <x:c r="H2" s="5"/>
      <x:c r="I2" s="5"/>
      <x:c r="J2" s="5"/>
      <x:c r="K2" s="5"/>
    </x:row>
    <x:row r="3">
      <x:c r="A3" s="11" t="str">
        <x:v>Completeness, distinctness, uniqueness and control observations for all 16 source fields</x:v>
      </x:c>
      <x:c r="B3" s="11"/>
      <x:c r="C3" s="11"/>
      <x:c r="D3" s="11"/>
      <x:c r="E3" s="11"/>
      <x:c r="F3" s="11"/>
      <x:c r="G3" s="11"/>
      <x:c r="H3" s="11"/>
      <x:c r="I3" s="11"/>
      <x:c r="J3" s="11"/>
      <x:c r="K3" s="11"/>
    </x:row>
    <x:row r="5">
      <x:c r="A5" s="499" t="str">
        <x:v>Field</x:v>
      </x:c>
      <x:c r="B5" s="500" t="str">
        <x:v>Inferred Type</x:v>
      </x:c>
      <x:c r="C5" s="500" t="str">
        <x:v>Total</x:v>
      </x:c>
      <x:c r="D5" s="500" t="str">
        <x:v>Populated</x:v>
      </x:c>
      <x:c r="E5" s="500" t="str">
        <x:v>Missing</x:v>
      </x:c>
      <x:c r="F5" s="500" t="str">
        <x:v>Completeness %</x:v>
      </x:c>
      <x:c r="G5" s="500" t="str">
        <x:v>Distinct</x:v>
      </x:c>
      <x:c r="H5" s="500" t="str">
        <x:v>Uniqueness %</x:v>
      </x:c>
      <x:c r="I5" s="500" t="str">
        <x:v>Duplicate Values</x:v>
      </x:c>
      <x:c r="J5" s="500" t="str">
        <x:v>Risk Rating</x:v>
      </x:c>
      <x:c r="K5" s="501" t="str">
        <x:v>Assessment Note</x:v>
      </x:c>
    </x:row>
    <x:row r="6">
      <x:c r="A6" s="27" t="str">
        <x:v>Employee_ID</x:v>
      </x:c>
      <x:c r="B6" s="28" t="str">
        <x:v>Integer</x:v>
      </x:c>
      <x:c r="C6" s="28" t="n">
        <x:v>200</x:v>
      </x:c>
      <x:c r="D6" s="28" t="n">
        <x:v>200</x:v>
      </x:c>
      <x:c r="E6" s="28" t="n">
        <x:v>0</x:v>
      </x:c>
      <x:c r="F6" s="521" t="n">
        <x:f>IF(C6=0,0,D6/C6)</x:f>
        <x:v>1</x:v>
      </x:c>
      <x:c r="G6" s="28" t="n">
        <x:v>200</x:v>
      </x:c>
      <x:c r="H6" s="521" t="n">
        <x:f>IF(D6=0,0,G6/D6)</x:f>
        <x:v>1</x:v>
      </x:c>
      <x:c r="I6" s="28" t="n">
        <x:v>0</x:v>
      </x:c>
      <x:c r="J6" s="28" t="str">
        <x:v>High</x:v>
      </x:c>
      <x:c r="K6" s="46" t="str">
        <x:v>Complete and unique across all 200 records.</x:v>
      </x:c>
    </x:row>
    <x:row r="7">
      <x:c r="A7" s="27" t="str">
        <x:v>First_Name</x:v>
      </x:c>
      <x:c r="B7" s="28" t="str">
        <x:v>Text</x:v>
      </x:c>
      <x:c r="C7" s="28" t="n">
        <x:v>200</x:v>
      </x:c>
      <x:c r="D7" s="28" t="n">
        <x:v>200</x:v>
      </x:c>
      <x:c r="E7" s="28" t="n">
        <x:v>0</x:v>
      </x:c>
      <x:c r="F7" s="521" t="n">
        <x:f>IF(C7=0,0,D7/C7)</x:f>
        <x:v>1</x:v>
      </x:c>
      <x:c r="G7" s="28" t="n">
        <x:v>200</x:v>
      </x:c>
      <x:c r="H7" s="521" t="n">
        <x:f>IF(D7=0,0,G7/D7)</x:f>
        <x:v>1</x:v>
      </x:c>
      <x:c r="I7" s="28" t="n">
        <x:v>0</x:v>
      </x:c>
      <x:c r="J7" s="28" t="str">
        <x:v>Medium</x:v>
      </x:c>
      <x:c r="K7" s="46" t="str">
        <x:v>Complete; synthetic naming pattern is consistent.</x:v>
      </x:c>
    </x:row>
    <x:row r="8">
      <x:c r="A8" s="27" t="str">
        <x:v>Last_Name</x:v>
      </x:c>
      <x:c r="B8" s="28" t="str">
        <x:v>Text</x:v>
      </x:c>
      <x:c r="C8" s="28" t="n">
        <x:v>200</x:v>
      </x:c>
      <x:c r="D8" s="28" t="n">
        <x:v>200</x:v>
      </x:c>
      <x:c r="E8" s="28" t="n">
        <x:v>0</x:v>
      </x:c>
      <x:c r="F8" s="521" t="n">
        <x:f>IF(C8=0,0,D8/C8)</x:f>
        <x:v>1</x:v>
      </x:c>
      <x:c r="G8" s="28" t="n">
        <x:v>200</x:v>
      </x:c>
      <x:c r="H8" s="521" t="n">
        <x:f>IF(D8=0,0,G8/D8)</x:f>
        <x:v>1</x:v>
      </x:c>
      <x:c r="I8" s="28" t="n">
        <x:v>0</x:v>
      </x:c>
      <x:c r="J8" s="28" t="str">
        <x:v>Medium</x:v>
      </x:c>
      <x:c r="K8" s="46" t="str">
        <x:v>Complete; synthetic naming pattern is consistent.</x:v>
      </x:c>
    </x:row>
    <x:row r="9">
      <x:c r="A9" s="27" t="str">
        <x:v>Country</x:v>
      </x:c>
      <x:c r="B9" s="28" t="str">
        <x:v>Text</x:v>
      </x:c>
      <x:c r="C9" s="28" t="n">
        <x:v>200</x:v>
      </x:c>
      <x:c r="D9" s="28" t="n">
        <x:v>200</x:v>
      </x:c>
      <x:c r="E9" s="28" t="n">
        <x:v>0</x:v>
      </x:c>
      <x:c r="F9" s="521" t="n">
        <x:f>IF(C9=0,0,D9/C9)</x:f>
        <x:v>1</x:v>
      </x:c>
      <x:c r="G9" s="28" t="n">
        <x:v>14</x:v>
      </x:c>
      <x:c r="H9" s="521" t="n">
        <x:f>IF(D9=0,0,G9/D9)</x:f>
        <x:v>0.07</x:v>
      </x:c>
      <x:c r="I9" s="28" t="n">
        <x:v>186</x:v>
      </x:c>
      <x:c r="J9" s="28" t="str">
        <x:v>Medium</x:v>
      </x:c>
      <x:c r="K9" s="46" t="str">
        <x:v>Complete; 14 represented country values.</x:v>
      </x:c>
    </x:row>
    <x:row r="10">
      <x:c r="A10" s="27" t="str">
        <x:v>Department</x:v>
      </x:c>
      <x:c r="B10" s="28" t="str">
        <x:v>Text</x:v>
      </x:c>
      <x:c r="C10" s="28" t="n">
        <x:v>200</x:v>
      </x:c>
      <x:c r="D10" s="28" t="n">
        <x:v>200</x:v>
      </x:c>
      <x:c r="E10" s="28" t="n">
        <x:v>0</x:v>
      </x:c>
      <x:c r="F10" s="521" t="n">
        <x:f>IF(C10=0,0,D10/C10)</x:f>
        <x:v>1</x:v>
      </x:c>
      <x:c r="G10" s="28" t="n">
        <x:v>6</x:v>
      </x:c>
      <x:c r="H10" s="521" t="n">
        <x:f>IF(D10=0,0,G10/D10)</x:f>
        <x:v>0.03</x:v>
      </x:c>
      <x:c r="I10" s="28" t="n">
        <x:v>194</x:v>
      </x:c>
      <x:c r="J10" s="28" t="str">
        <x:v>Medium</x:v>
      </x:c>
      <x:c r="K10" s="46" t="str">
        <x:v>Complete; 6 represented departments.</x:v>
      </x:c>
    </x:row>
    <x:row r="11">
      <x:c r="A11" s="27" t="str">
        <x:v>Email</x:v>
      </x:c>
      <x:c r="B11" s="28" t="str">
        <x:v>Text</x:v>
      </x:c>
      <x:c r="C11" s="28" t="n">
        <x:v>200</x:v>
      </x:c>
      <x:c r="D11" s="28" t="n">
        <x:v>194</x:v>
      </x:c>
      <x:c r="E11" s="28" t="n">
        <x:v>6</x:v>
      </x:c>
      <x:c r="F11" s="521" t="n">
        <x:f>IF(C11=0,0,D11/C11)</x:f>
        <x:v>0.97</x:v>
      </x:c>
      <x:c r="G11" s="28" t="n">
        <x:v>194</x:v>
      </x:c>
      <x:c r="H11" s="521" t="n">
        <x:f>IF(D11=0,0,G11/D11)</x:f>
        <x:v>1</x:v>
      </x:c>
      <x:c r="I11" s="28" t="n">
        <x:v>0</x:v>
      </x:c>
      <x:c r="J11" s="28" t="str">
        <x:v>High</x:v>
      </x:c>
      <x:c r="K11" s="46" t="str">
        <x:v>6 values missing; 194 populated values pass basic email-format validation.</x:v>
      </x:c>
    </x:row>
    <x:row r="12">
      <x:c r="A12" s="27" t="str">
        <x:v>AD_Username</x:v>
      </x:c>
      <x:c r="B12" s="28" t="str">
        <x:v>Text</x:v>
      </x:c>
      <x:c r="C12" s="28" t="n">
        <x:v>200</x:v>
      </x:c>
      <x:c r="D12" s="28" t="n">
        <x:v>200</x:v>
      </x:c>
      <x:c r="E12" s="28" t="n">
        <x:v>0</x:v>
      </x:c>
      <x:c r="F12" s="521" t="n">
        <x:f>IF(C12=0,0,D12/C12)</x:f>
        <x:v>1</x:v>
      </x:c>
      <x:c r="G12" s="28" t="n">
        <x:v>200</x:v>
      </x:c>
      <x:c r="H12" s="521" t="n">
        <x:f>IF(D12=0,0,G12/D12)</x:f>
        <x:v>1</x:v>
      </x:c>
      <x:c r="I12" s="28" t="n">
        <x:v>0</x:v>
      </x:c>
      <x:c r="J12" s="28" t="str">
        <x:v>High</x:v>
      </x:c>
      <x:c r="K12" s="46" t="str">
        <x:v>Complete and unique across all records.</x:v>
      </x:c>
    </x:row>
    <x:row r="13">
      <x:c r="A13" s="27" t="str">
        <x:v>BambooHR_ID</x:v>
      </x:c>
      <x:c r="B13" s="28" t="str">
        <x:v>Text</x:v>
      </x:c>
      <x:c r="C13" s="28" t="n">
        <x:v>200</x:v>
      </x:c>
      <x:c r="D13" s="28" t="n">
        <x:v>200</x:v>
      </x:c>
      <x:c r="E13" s="28" t="n">
        <x:v>0</x:v>
      </x:c>
      <x:c r="F13" s="521" t="n">
        <x:f>IF(C13=0,0,D13/C13)</x:f>
        <x:v>1</x:v>
      </x:c>
      <x:c r="G13" s="28" t="n">
        <x:v>200</x:v>
      </x:c>
      <x:c r="H13" s="521" t="n">
        <x:f>IF(D13=0,0,G13/D13)</x:f>
        <x:v>1</x:v>
      </x:c>
      <x:c r="I13" s="28" t="n">
        <x:v>0</x:v>
      </x:c>
      <x:c r="J13" s="28" t="str">
        <x:v>High</x:v>
      </x:c>
      <x:c r="K13" s="46" t="str">
        <x:v>Complete and unique across all records.</x:v>
      </x:c>
    </x:row>
    <x:row r="14">
      <x:c r="A14" s="27" t="str">
        <x:v>Maconomy_ID</x:v>
      </x:c>
      <x:c r="B14" s="28" t="str">
        <x:v>Text</x:v>
      </x:c>
      <x:c r="C14" s="28" t="n">
        <x:v>200</x:v>
      </x:c>
      <x:c r="D14" s="28" t="n">
        <x:v>200</x:v>
      </x:c>
      <x:c r="E14" s="28" t="n">
        <x:v>0</x:v>
      </x:c>
      <x:c r="F14" s="521" t="n">
        <x:f>IF(C14=0,0,D14/C14)</x:f>
        <x:v>1</x:v>
      </x:c>
      <x:c r="G14" s="28" t="n">
        <x:v>200</x:v>
      </x:c>
      <x:c r="H14" s="521" t="n">
        <x:f>IF(D14=0,0,G14/D14)</x:f>
        <x:v>1</x:v>
      </x:c>
      <x:c r="I14" s="28" t="n">
        <x:v>0</x:v>
      </x:c>
      <x:c r="J14" s="28" t="str">
        <x:v>High</x:v>
      </x:c>
      <x:c r="K14" s="46" t="str">
        <x:v>Complete and unique across all records.</x:v>
      </x:c>
    </x:row>
    <x:row r="15">
      <x:c r="A15" s="27" t="str">
        <x:v>Xytech_ID</x:v>
      </x:c>
      <x:c r="B15" s="28" t="str">
        <x:v>Text</x:v>
      </x:c>
      <x:c r="C15" s="28" t="n">
        <x:v>200</x:v>
      </x:c>
      <x:c r="D15" s="28" t="n">
        <x:v>200</x:v>
      </x:c>
      <x:c r="E15" s="28" t="n">
        <x:v>0</x:v>
      </x:c>
      <x:c r="F15" s="521" t="n">
        <x:f>IF(C15=0,0,D15/C15)</x:f>
        <x:v>1</x:v>
      </x:c>
      <x:c r="G15" s="28" t="n">
        <x:v>200</x:v>
      </x:c>
      <x:c r="H15" s="521" t="n">
        <x:f>IF(D15=0,0,G15/D15)</x:f>
        <x:v>1</x:v>
      </x:c>
      <x:c r="I15" s="28" t="n">
        <x:v>0</x:v>
      </x:c>
      <x:c r="J15" s="28" t="str">
        <x:v>High</x:v>
      </x:c>
      <x:c r="K15" s="46" t="str">
        <x:v>Complete and unique across all records.</x:v>
      </x:c>
    </x:row>
    <x:row r="16">
      <x:c r="A16" s="27" t="str">
        <x:v>Duplicate_Flag</x:v>
      </x:c>
      <x:c r="B16" s="28" t="str">
        <x:v>Text</x:v>
      </x:c>
      <x:c r="C16" s="28" t="n">
        <x:v>200</x:v>
      </x:c>
      <x:c r="D16" s="28" t="n">
        <x:v>200</x:v>
      </x:c>
      <x:c r="E16" s="28" t="n">
        <x:v>0</x:v>
      </x:c>
      <x:c r="F16" s="521" t="n">
        <x:f>IF(C16=0,0,D16/C16)</x:f>
        <x:v>1</x:v>
      </x:c>
      <x:c r="G16" s="28" t="n">
        <x:v>2</x:v>
      </x:c>
      <x:c r="H16" s="521" t="n">
        <x:f>IF(D16=0,0,G16/D16)</x:f>
        <x:v>0.01</x:v>
      </x:c>
      <x:c r="I16" s="28" t="n">
        <x:v>198</x:v>
      </x:c>
      <x:c r="J16" s="28" t="str">
        <x:v>High</x:v>
      </x:c>
      <x:c r="K16" s="46" t="str">
        <x:v>5 records are flagged Yes; no repeated key values were detected in assessed identifiers.</x:v>
      </x:c>
    </x:row>
    <x:row r="17">
      <x:c r="A17" s="27" t="str">
        <x:v>Missing_Email</x:v>
      </x:c>
      <x:c r="B17" s="28" t="str">
        <x:v>Text</x:v>
      </x:c>
      <x:c r="C17" s="28" t="n">
        <x:v>200</x:v>
      </x:c>
      <x:c r="D17" s="28" t="n">
        <x:v>200</x:v>
      </x:c>
      <x:c r="E17" s="28" t="n">
        <x:v>0</x:v>
      </x:c>
      <x:c r="F17" s="521" t="n">
        <x:f>IF(C17=0,0,D17/C17)</x:f>
        <x:v>1</x:v>
      </x:c>
      <x:c r="G17" s="28" t="n">
        <x:v>2</x:v>
      </x:c>
      <x:c r="H17" s="521" t="n">
        <x:f>IF(D17=0,0,G17/D17)</x:f>
        <x:v>0.01</x:v>
      </x:c>
      <x:c r="I17" s="28" t="n">
        <x:v>198</x:v>
      </x:c>
      <x:c r="J17" s="28" t="str">
        <x:v>High</x:v>
      </x:c>
      <x:c r="K17" s="46" t="str">
        <x:v>6 records are flagged Yes and align with blank Email values.</x:v>
      </x:c>
    </x:row>
    <x:row r="18">
      <x:c r="A18" s="27" t="str">
        <x:v>Data_Quality_Status</x:v>
      </x:c>
      <x:c r="B18" s="28" t="str">
        <x:v>Text</x:v>
      </x:c>
      <x:c r="C18" s="28" t="n">
        <x:v>200</x:v>
      </x:c>
      <x:c r="D18" s="28" t="n">
        <x:v>200</x:v>
      </x:c>
      <x:c r="E18" s="28" t="n">
        <x:v>0</x:v>
      </x:c>
      <x:c r="F18" s="521" t="n">
        <x:f>IF(C18=0,0,D18/C18)</x:f>
        <x:v>1</x:v>
      </x:c>
      <x:c r="G18" s="28" t="n">
        <x:v>2</x:v>
      </x:c>
      <x:c r="H18" s="521" t="n">
        <x:f>IF(D18=0,0,G18/D18)</x:f>
        <x:v>0.01</x:v>
      </x:c>
      <x:c r="I18" s="28" t="n">
        <x:v>198</x:v>
      </x:c>
      <x:c r="J18" s="28" t="str">
        <x:v>High</x:v>
      </x:c>
      <x:c r="K18" s="46" t="str">
        <x:v>11 records are marked Issue; 189 are Clean.</x:v>
      </x:c>
    </x:row>
    <x:row r="19">
      <x:c r="A19" s="27" t="str">
        <x:v>Source_System</x:v>
      </x:c>
      <x:c r="B19" s="28" t="str">
        <x:v>Text</x:v>
      </x:c>
      <x:c r="C19" s="28" t="n">
        <x:v>200</x:v>
      </x:c>
      <x:c r="D19" s="28" t="n">
        <x:v>200</x:v>
      </x:c>
      <x:c r="E19" s="28" t="n">
        <x:v>0</x:v>
      </x:c>
      <x:c r="F19" s="521" t="n">
        <x:f>IF(C19=0,0,D19/C19)</x:f>
        <x:v>1</x:v>
      </x:c>
      <x:c r="G19" s="28" t="n">
        <x:v>4</x:v>
      </x:c>
      <x:c r="H19" s="521" t="n">
        <x:f>IF(D19=0,0,G19/D19)</x:f>
        <x:v>0.02</x:v>
      </x:c>
      <x:c r="I19" s="28" t="n">
        <x:v>196</x:v>
      </x:c>
      <x:c r="J19" s="28" t="str">
        <x:v>Medium</x:v>
      </x:c>
      <x:c r="K19" s="46" t="str">
        <x:v>Complete and evenly distributed across four source systems.</x:v>
      </x:c>
    </x:row>
    <x:row r="20">
      <x:c r="A20" s="27" t="str">
        <x:v>Source_of_Truth</x:v>
      </x:c>
      <x:c r="B20" s="28" t="str">
        <x:v>Text</x:v>
      </x:c>
      <x:c r="C20" s="28" t="n">
        <x:v>200</x:v>
      </x:c>
      <x:c r="D20" s="28" t="n">
        <x:v>200</x:v>
      </x:c>
      <x:c r="E20" s="28" t="n">
        <x:v>0</x:v>
      </x:c>
      <x:c r="F20" s="521" t="n">
        <x:f>IF(C20=0,0,D20/C20)</x:f>
        <x:v>1</x:v>
      </x:c>
      <x:c r="G20" s="28" t="n">
        <x:v>2</x:v>
      </x:c>
      <x:c r="H20" s="521" t="n">
        <x:f>IF(D20=0,0,G20/D20)</x:f>
        <x:v>0.01</x:v>
      </x:c>
      <x:c r="I20" s="28" t="n">
        <x:v>198</x:v>
      </x:c>
      <x:c r="J20" s="28" t="str">
        <x:v>High</x:v>
      </x:c>
      <x:c r="K20" s="46" t="str">
        <x:v>11 records Pending; 189 Confirmed.</x:v>
      </x:c>
    </x:row>
    <x:row r="21">
      <x:c r="A21" s="30" t="str">
        <x:v>Validation_Status</x:v>
      </x:c>
      <x:c r="B21" s="31" t="str">
        <x:v>Text</x:v>
      </x:c>
      <x:c r="C21" s="31" t="n">
        <x:v>200</x:v>
      </x:c>
      <x:c r="D21" s="31" t="n">
        <x:v>200</x:v>
      </x:c>
      <x:c r="E21" s="31" t="n">
        <x:v>0</x:v>
      </x:c>
      <x:c r="F21" s="523" t="n">
        <x:f>IF(C21=0,0,D21/C21)</x:f>
        <x:v>1</x:v>
      </x:c>
      <x:c r="G21" s="31" t="n">
        <x:v>2</x:v>
      </x:c>
      <x:c r="H21" s="523" t="n">
        <x:f>IF(D21=0,0,G21/D21)</x:f>
        <x:v>0.01</x:v>
      </x:c>
      <x:c r="I21" s="31" t="n">
        <x:v>198</x:v>
      </x:c>
      <x:c r="J21" s="31" t="str">
        <x:v>High</x:v>
      </x:c>
      <x:c r="K21" s="49" t="str">
        <x:v>11 records Pending; 189 Validated.</x:v>
      </x:c>
    </x:row>
  </x:sheetData>
  <x:mergeCells>
    <x:mergeCell ref="A1:K2"/>
    <x:mergeCell ref="A3:K3"/>
  </x:mergeCells>
  <x:conditionalFormatting sqref="F6:F21">
    <x:cfRule type="colorScale" priority="1">
      <x:colorScale>
        <x:cfvo type="min"/>
        <x:cfvo type="percentile" val="50"/>
        <x:cfvo type="max"/>
        <x:color rgb="FFF4CCCC"/>
        <x:color rgb="FFFFF2CC"/>
        <x:color rgb="FFE2F0D9"/>
      </x:colorScale>
    </x:cfRule>
  </x:conditionalFormatting>
  <x:conditionalFormatting sqref="J6:J21">
    <x:cfRule type="expression" dxfId="6" priority="2">
      <x:formula>J6="High"</x:formula>
    </x:cfRule>
  </x:conditionalFormatting>
  <x:pageMargins left="0.7" right="0.7" top="0.75" bottom="0.75" header="0.3" footer="0.3"/>
  <x:tableParts count="1">
    <x:tablePart xmlns:r="http://schemas.openxmlformats.org/officeDocument/2006/relationships" r:id="Re1eaae30cd0a49ef"/>
  </x:tableParts>
</x:worksheet>
</file>

<file path=xl/worksheets/sheet5.xml><?xml version="1.0" encoding="utf-8"?>
<x:worksheet xmlns:x="http://schemas.openxmlformats.org/spreadsheetml/2006/main">
  <x:sheetFormatPr defaultRowHeight="15"/>
  <x:cols>
    <x:col min="1" max="1" width="11" hidden="0" customWidth="1"/>
    <x:col min="2" max="2" width="12" hidden="0" customWidth="1"/>
    <x:col min="3" max="3" width="20" hidden="0" customWidth="1"/>
    <x:col min="4" max="4" width="14" hidden="0" customWidth="1"/>
    <x:col min="5" max="5" width="16" hidden="0" customWidth="1"/>
    <x:col min="6" max="6" width="18" hidden="0" customWidth="1"/>
    <x:col min="7" max="7" width="15" hidden="0" customWidth="1"/>
    <x:col min="8" max="8" width="15" hidden="0" customWidth="1"/>
    <x:col min="9" max="9" width="18" hidden="0" customWidth="1"/>
    <x:col min="10" max="10" width="18" hidden="0" customWidth="1"/>
    <x:col min="11" max="11" width="11" hidden="0" customWidth="1"/>
    <x:col min="12" max="12" width="45" hidden="0" customWidth="1"/>
    <x:col min="13" max="13" width="55" hidden="0" customWidth="1"/>
    <x:col min="14" max="14" width="16" hidden="0" customWidth="1"/>
    <x:col min="15" max="15" width="20" hidden="0" customWidth="1"/>
    <x:col min="16" max="16" width="45" hidden="0" customWidth="1"/>
  </x:cols>
  <x:sheetData>
    <x:row r="1">
      <x:c r="A1" s="5" t="str">
        <x:v>Data Quality Issue Register</x:v>
      </x:c>
      <x:c r="B1" s="5"/>
      <x:c r="C1" s="5"/>
      <x:c r="D1" s="5"/>
      <x:c r="E1" s="5"/>
      <x:c r="F1" s="5"/>
      <x:c r="G1" s="5"/>
      <x:c r="H1" s="5"/>
      <x:c r="I1" s="5"/>
      <x:c r="J1" s="5"/>
      <x:c r="K1" s="5"/>
      <x:c r="L1" s="5"/>
      <x:c r="M1" s="5"/>
      <x:c r="N1" s="5"/>
      <x:c r="O1" s="5"/>
      <x:c r="P1" s="5"/>
    </x:row>
    <x:row r="2">
      <x:c r="A2" s="5"/>
      <x:c r="B2" s="5"/>
      <x:c r="C2" s="5"/>
      <x:c r="D2" s="5"/>
      <x:c r="E2" s="5"/>
      <x:c r="F2" s="5"/>
      <x:c r="G2" s="5"/>
      <x:c r="H2" s="5"/>
      <x:c r="I2" s="5"/>
      <x:c r="J2" s="5"/>
      <x:c r="K2" s="5"/>
      <x:c r="L2" s="5"/>
      <x:c r="M2" s="5"/>
      <x:c r="N2" s="5"/>
      <x:c r="O2" s="5"/>
      <x:c r="P2" s="5"/>
    </x:row>
    <x:row r="3">
      <x:c r="A3" s="11" t="str">
        <x:v>Record-level remediation register for all migration-held records</x:v>
      </x:c>
      <x:c r="B3" s="11"/>
      <x:c r="C3" s="11"/>
      <x:c r="D3" s="11"/>
      <x:c r="E3" s="11"/>
      <x:c r="F3" s="11"/>
      <x:c r="G3" s="11"/>
      <x:c r="H3" s="11"/>
      <x:c r="I3" s="11"/>
      <x:c r="J3" s="11"/>
      <x:c r="K3" s="11"/>
      <x:c r="L3" s="11"/>
      <x:c r="M3" s="11"/>
      <x:c r="N3" s="11"/>
      <x:c r="O3" s="11"/>
      <x:c r="P3" s="11"/>
    </x:row>
    <x:row r="5">
      <x:c r="A5" s="499" t="str">
        <x:v>Issue_ID</x:v>
      </x:c>
      <x:c r="B5" s="500" t="str">
        <x:v>Employee_ID</x:v>
      </x:c>
      <x:c r="C5" s="500" t="str">
        <x:v>Employee_Name</x:v>
      </x:c>
      <x:c r="D5" s="500" t="str">
        <x:v>Country</x:v>
      </x:c>
      <x:c r="E5" s="500" t="str">
        <x:v>Department</x:v>
      </x:c>
      <x:c r="F5" s="500" t="str">
        <x:v>Source_System</x:v>
      </x:c>
      <x:c r="G5" s="500" t="str">
        <x:v>Duplicate_Flag</x:v>
      </x:c>
      <x:c r="H5" s="500" t="str">
        <x:v>Missing_Email</x:v>
      </x:c>
      <x:c r="I5" s="500" t="str">
        <x:v>Source_of_Truth</x:v>
      </x:c>
      <x:c r="J5" s="500" t="str">
        <x:v>Validation_Status</x:v>
      </x:c>
      <x:c r="K5" s="500" t="str">
        <x:v>Severity</x:v>
      </x:c>
      <x:c r="L5" s="500" t="str">
        <x:v>Issue_Summary</x:v>
      </x:c>
      <x:c r="M5" s="500" t="str">
        <x:v>Recommended_Action</x:v>
      </x:c>
      <x:c r="N5" s="500" t="str">
        <x:v>Proposed_Owner</x:v>
      </x:c>
      <x:c r="O5" s="500" t="str">
        <x:v>Target_Status</x:v>
      </x:c>
      <x:c r="P5" s="501" t="str">
        <x:v>Validation_Evidence</x:v>
      </x:c>
    </x:row>
    <x:row r="6">
      <x:c r="A6" s="27" t="str">
        <x:v>DQ-001</x:v>
      </x:c>
      <x:c r="B6" s="28" t="n">
        <x:v>1029</x:v>
      </x:c>
      <x:c r="C6" s="28" t="str">
        <x:v>Emp29 User29</x:v>
      </x:c>
      <x:c r="D6" s="28" t="str">
        <x:v>Brazil</x:v>
      </x:c>
      <x:c r="E6" s="28" t="str">
        <x:v>Operations</x:v>
      </x:c>
      <x:c r="F6" s="28" t="str">
        <x:v>Xytech</x:v>
      </x:c>
      <x:c r="G6" s="28" t="str">
        <x:v>No</x:v>
      </x:c>
      <x:c r="H6" s="28" t="str">
        <x:v>Yes</x:v>
      </x:c>
      <x:c r="I6" s="28" t="str">
        <x:v>Pending</x:v>
      </x:c>
      <x:c r="J6" s="28" t="str">
        <x:v>Pending</x:v>
      </x:c>
      <x:c r="K6" s="28" t="str">
        <x:v>High</x:v>
      </x:c>
      <x:c r="L6" s="45" t="str">
        <x:v>Required email value is missing; source of truth and validation are also pending.</x:v>
      </x:c>
      <x:c r="M6" s="45" t="str">
        <x:v>Obtain email from the authoritative source, validate format and uniqueness, then confirm source of truth and validation.</x:v>
      </x:c>
      <x:c r="N6" s="45" t="str">
        <x:v>To assign</x:v>
      </x:c>
      <x:c r="O6" s="45" t="str">
        <x:v>Ready for migration</x:v>
      </x:c>
      <x:c r="P6" s="46" t="str">
        <x:v>Source evidence, updated record, rule re-run and approver sign-off</x:v>
      </x:c>
    </x:row>
    <x:row r="7">
      <x:c r="A7" s="27" t="str">
        <x:v>DQ-002</x:v>
      </x:c>
      <x:c r="B7" s="28" t="n">
        <x:v>1037</x:v>
      </x:c>
      <x:c r="C7" s="28" t="str">
        <x:v>Emp37 User37</x:v>
      </x:c>
      <x:c r="D7" s="28" t="str">
        <x:v>France</x:v>
      </x:c>
      <x:c r="E7" s="28" t="str">
        <x:v>Marketing</x:v>
      </x:c>
      <x:c r="F7" s="28" t="str">
        <x:v>Xytech</x:v>
      </x:c>
      <x:c r="G7" s="28" t="str">
        <x:v>Yes</x:v>
      </x:c>
      <x:c r="H7" s="28" t="str">
        <x:v>No</x:v>
      </x:c>
      <x:c r="I7" s="28" t="str">
        <x:v>Pending</x:v>
      </x:c>
      <x:c r="J7" s="28" t="str">
        <x:v>Pending</x:v>
      </x:c>
      <x:c r="K7" s="28" t="str">
        <x:v>High</x:v>
      </x:c>
      <x:c r="L7" s="45" t="str">
        <x:v>Record is marked as duplicate; duplicate matching basis is not included in the dataset.</x:v>
      </x:c>
      <x:c r="M7" s="45" t="str">
        <x:v>Reconcile against authoritative systems, identify the surviving master record, merge/retire duplicates, then revalidate.</x:v>
      </x:c>
      <x:c r="N7" s="45" t="str">
        <x:v>To assign</x:v>
      </x:c>
      <x:c r="O7" s="45" t="str">
        <x:v>Ready for migration</x:v>
      </x:c>
      <x:c r="P7" s="46" t="str">
        <x:v>Source evidence, updated record, rule re-run and approver sign-off</x:v>
      </x:c>
    </x:row>
    <x:row r="8">
      <x:c r="A8" s="27" t="str">
        <x:v>DQ-003</x:v>
      </x:c>
      <x:c r="B8" s="28" t="n">
        <x:v>1058</x:v>
      </x:c>
      <x:c r="C8" s="28" t="str">
        <x:v>Emp58 User58</x:v>
      </x:c>
      <x:c r="D8" s="28" t="str">
        <x:v>UK</x:v>
      </x:c>
      <x:c r="E8" s="28" t="str">
        <x:v>IT</x:v>
      </x:c>
      <x:c r="F8" s="28" t="str">
        <x:v>BambooHR</x:v>
      </x:c>
      <x:c r="G8" s="28" t="str">
        <x:v>No</x:v>
      </x:c>
      <x:c r="H8" s="28" t="str">
        <x:v>Yes</x:v>
      </x:c>
      <x:c r="I8" s="28" t="str">
        <x:v>Pending</x:v>
      </x:c>
      <x:c r="J8" s="28" t="str">
        <x:v>Pending</x:v>
      </x:c>
      <x:c r="K8" s="28" t="str">
        <x:v>High</x:v>
      </x:c>
      <x:c r="L8" s="45" t="str">
        <x:v>Required email value is missing; source of truth and validation are also pending.</x:v>
      </x:c>
      <x:c r="M8" s="45" t="str">
        <x:v>Obtain email from the authoritative source, validate format and uniqueness, then confirm source of truth and validation.</x:v>
      </x:c>
      <x:c r="N8" s="45" t="str">
        <x:v>To assign</x:v>
      </x:c>
      <x:c r="O8" s="45" t="str">
        <x:v>Ready for migration</x:v>
      </x:c>
      <x:c r="P8" s="46" t="str">
        <x:v>Source evidence, updated record, rule re-run and approver sign-off</x:v>
      </x:c>
    </x:row>
    <x:row r="9">
      <x:c r="A9" s="27" t="str">
        <x:v>DQ-004</x:v>
      </x:c>
      <x:c r="B9" s="28" t="n">
        <x:v>1074</x:v>
      </x:c>
      <x:c r="C9" s="28" t="str">
        <x:v>Emp74 User74</x:v>
      </x:c>
      <x:c r="D9" s="28" t="str">
        <x:v>Canada</x:v>
      </x:c>
      <x:c r="E9" s="28" t="str">
        <x:v>HR</x:v>
      </x:c>
      <x:c r="F9" s="28" t="str">
        <x:v>BambooHR</x:v>
      </x:c>
      <x:c r="G9" s="28" t="str">
        <x:v>Yes</x:v>
      </x:c>
      <x:c r="H9" s="28" t="str">
        <x:v>No</x:v>
      </x:c>
      <x:c r="I9" s="28" t="str">
        <x:v>Pending</x:v>
      </x:c>
      <x:c r="J9" s="28" t="str">
        <x:v>Pending</x:v>
      </x:c>
      <x:c r="K9" s="28" t="str">
        <x:v>High</x:v>
      </x:c>
      <x:c r="L9" s="45" t="str">
        <x:v>Record is marked as duplicate; duplicate matching basis is not included in the dataset.</x:v>
      </x:c>
      <x:c r="M9" s="45" t="str">
        <x:v>Reconcile against authoritative systems, identify the surviving master record, merge/retire duplicates, then revalidate.</x:v>
      </x:c>
      <x:c r="N9" s="45" t="str">
        <x:v>To assign</x:v>
      </x:c>
      <x:c r="O9" s="45" t="str">
        <x:v>Ready for migration</x:v>
      </x:c>
      <x:c r="P9" s="46" t="str">
        <x:v>Source evidence, updated record, rule re-run and approver sign-off</x:v>
      </x:c>
    </x:row>
    <x:row r="10">
      <x:c r="A10" s="27" t="str">
        <x:v>DQ-005</x:v>
      </x:c>
      <x:c r="B10" s="28" t="n">
        <x:v>1087</x:v>
      </x:c>
      <x:c r="C10" s="28" t="str">
        <x:v>Emp87 User87</x:v>
      </x:c>
      <x:c r="D10" s="28" t="str">
        <x:v>USA</x:v>
      </x:c>
      <x:c r="E10" s="28" t="str">
        <x:v>Finance</x:v>
      </x:c>
      <x:c r="F10" s="28" t="str">
        <x:v>Active Directory</x:v>
      </x:c>
      <x:c r="G10" s="28" t="str">
        <x:v>No</x:v>
      </x:c>
      <x:c r="H10" s="28" t="str">
        <x:v>Yes</x:v>
      </x:c>
      <x:c r="I10" s="28" t="str">
        <x:v>Pending</x:v>
      </x:c>
      <x:c r="J10" s="28" t="str">
        <x:v>Pending</x:v>
      </x:c>
      <x:c r="K10" s="28" t="str">
        <x:v>High</x:v>
      </x:c>
      <x:c r="L10" s="45" t="str">
        <x:v>Required email value is missing; source of truth and validation are also pending.</x:v>
      </x:c>
      <x:c r="M10" s="45" t="str">
        <x:v>Obtain email from the authoritative source, validate format and uniqueness, then confirm source of truth and validation.</x:v>
      </x:c>
      <x:c r="N10" s="45" t="str">
        <x:v>To assign</x:v>
      </x:c>
      <x:c r="O10" s="45" t="str">
        <x:v>Ready for migration</x:v>
      </x:c>
      <x:c r="P10" s="46" t="str">
        <x:v>Source evidence, updated record, rule re-run and approver sign-off</x:v>
      </x:c>
    </x:row>
    <x:row r="11">
      <x:c r="A11" s="27" t="str">
        <x:v>DQ-006</x:v>
      </x:c>
      <x:c r="B11" s="28" t="n">
        <x:v>1111</x:v>
      </x:c>
      <x:c r="C11" s="28" t="str">
        <x:v>Emp111 User111</x:v>
      </x:c>
      <x:c r="D11" s="28" t="str">
        <x:v>Netherlands</x:v>
      </x:c>
      <x:c r="E11" s="28" t="str">
        <x:v>Finance</x:v>
      </x:c>
      <x:c r="F11" s="28" t="str">
        <x:v>Active Directory</x:v>
      </x:c>
      <x:c r="G11" s="28" t="str">
        <x:v>Yes</x:v>
      </x:c>
      <x:c r="H11" s="28" t="str">
        <x:v>No</x:v>
      </x:c>
      <x:c r="I11" s="28" t="str">
        <x:v>Pending</x:v>
      </x:c>
      <x:c r="J11" s="28" t="str">
        <x:v>Pending</x:v>
      </x:c>
      <x:c r="K11" s="28" t="str">
        <x:v>High</x:v>
      </x:c>
      <x:c r="L11" s="45" t="str">
        <x:v>Record is marked as duplicate; duplicate matching basis is not included in the dataset.</x:v>
      </x:c>
      <x:c r="M11" s="45" t="str">
        <x:v>Reconcile against authoritative systems, identify the surviving master record, merge/retire duplicates, then revalidate.</x:v>
      </x:c>
      <x:c r="N11" s="45" t="str">
        <x:v>To assign</x:v>
      </x:c>
      <x:c r="O11" s="45" t="str">
        <x:v>Ready for migration</x:v>
      </x:c>
      <x:c r="P11" s="46" t="str">
        <x:v>Source evidence, updated record, rule re-run and approver sign-off</x:v>
      </x:c>
    </x:row>
    <x:row r="12">
      <x:c r="A12" s="27" t="str">
        <x:v>DQ-007</x:v>
      </x:c>
      <x:c r="B12" s="28" t="n">
        <x:v>1116</x:v>
      </x:c>
      <x:c r="C12" s="28" t="str">
        <x:v>Emp116 User116</x:v>
      </x:c>
      <x:c r="D12" s="28" t="str">
        <x:v>Canada</x:v>
      </x:c>
      <x:c r="E12" s="28" t="str">
        <x:v>HR</x:v>
      </x:c>
      <x:c r="F12" s="28" t="str">
        <x:v>Maconomy</x:v>
      </x:c>
      <x:c r="G12" s="28" t="str">
        <x:v>No</x:v>
      </x:c>
      <x:c r="H12" s="28" t="str">
        <x:v>Yes</x:v>
      </x:c>
      <x:c r="I12" s="28" t="str">
        <x:v>Pending</x:v>
      </x:c>
      <x:c r="J12" s="28" t="str">
        <x:v>Pending</x:v>
      </x:c>
      <x:c r="K12" s="28" t="str">
        <x:v>High</x:v>
      </x:c>
      <x:c r="L12" s="45" t="str">
        <x:v>Required email value is missing; source of truth and validation are also pending.</x:v>
      </x:c>
      <x:c r="M12" s="45" t="str">
        <x:v>Obtain email from the authoritative source, validate format and uniqueness, then confirm source of truth and validation.</x:v>
      </x:c>
      <x:c r="N12" s="45" t="str">
        <x:v>To assign</x:v>
      </x:c>
      <x:c r="O12" s="45" t="str">
        <x:v>Ready for migration</x:v>
      </x:c>
      <x:c r="P12" s="46" t="str">
        <x:v>Source evidence, updated record, rule re-run and approver sign-off</x:v>
      </x:c>
    </x:row>
    <x:row r="13">
      <x:c r="A13" s="27" t="str">
        <x:v>DQ-008</x:v>
      </x:c>
      <x:c r="B13" s="28" t="n">
        <x:v>1145</x:v>
      </x:c>
      <x:c r="C13" s="28" t="str">
        <x:v>Emp145 User145</x:v>
      </x:c>
      <x:c r="D13" s="28" t="str">
        <x:v>Germany</x:v>
      </x:c>
      <x:c r="E13" s="28" t="str">
        <x:v>Marketing</x:v>
      </x:c>
      <x:c r="F13" s="28" t="str">
        <x:v>Xytech</x:v>
      </x:c>
      <x:c r="G13" s="28" t="str">
        <x:v>No</x:v>
      </x:c>
      <x:c r="H13" s="28" t="str">
        <x:v>Yes</x:v>
      </x:c>
      <x:c r="I13" s="28" t="str">
        <x:v>Pending</x:v>
      </x:c>
      <x:c r="J13" s="28" t="str">
        <x:v>Pending</x:v>
      </x:c>
      <x:c r="K13" s="28" t="str">
        <x:v>High</x:v>
      </x:c>
      <x:c r="L13" s="45" t="str">
        <x:v>Required email value is missing; source of truth and validation are also pending.</x:v>
      </x:c>
      <x:c r="M13" s="45" t="str">
        <x:v>Obtain email from the authoritative source, validate format and uniqueness, then confirm source of truth and validation.</x:v>
      </x:c>
      <x:c r="N13" s="45" t="str">
        <x:v>To assign</x:v>
      </x:c>
      <x:c r="O13" s="45" t="str">
        <x:v>Ready for migration</x:v>
      </x:c>
      <x:c r="P13" s="46" t="str">
        <x:v>Source evidence, updated record, rule re-run and approver sign-off</x:v>
      </x:c>
    </x:row>
    <x:row r="14">
      <x:c r="A14" s="27" t="str">
        <x:v>DQ-009</x:v>
      </x:c>
      <x:c r="B14" s="28" t="n">
        <x:v>1148</x:v>
      </x:c>
      <x:c r="C14" s="28" t="str">
        <x:v>Emp148 User148</x:v>
      </x:c>
      <x:c r="D14" s="28" t="str">
        <x:v>UAE</x:v>
      </x:c>
      <x:c r="E14" s="28" t="str">
        <x:v>IT</x:v>
      </x:c>
      <x:c r="F14" s="28" t="str">
        <x:v>Maconomy</x:v>
      </x:c>
      <x:c r="G14" s="28" t="str">
        <x:v>Yes</x:v>
      </x:c>
      <x:c r="H14" s="28" t="str">
        <x:v>No</x:v>
      </x:c>
      <x:c r="I14" s="28" t="str">
        <x:v>Pending</x:v>
      </x:c>
      <x:c r="J14" s="28" t="str">
        <x:v>Pending</x:v>
      </x:c>
      <x:c r="K14" s="28" t="str">
        <x:v>High</x:v>
      </x:c>
      <x:c r="L14" s="45" t="str">
        <x:v>Record is marked as duplicate; duplicate matching basis is not included in the dataset.</x:v>
      </x:c>
      <x:c r="M14" s="45" t="str">
        <x:v>Reconcile against authoritative systems, identify the surviving master record, merge/retire duplicates, then revalidate.</x:v>
      </x:c>
      <x:c r="N14" s="45" t="str">
        <x:v>To assign</x:v>
      </x:c>
      <x:c r="O14" s="45" t="str">
        <x:v>Ready for migration</x:v>
      </x:c>
      <x:c r="P14" s="46" t="str">
        <x:v>Source evidence, updated record, rule re-run and approver sign-off</x:v>
      </x:c>
    </x:row>
    <x:row r="15">
      <x:c r="A15" s="27" t="str">
        <x:v>DQ-010</x:v>
      </x:c>
      <x:c r="B15" s="28" t="n">
        <x:v>1174</x:v>
      </x:c>
      <x:c r="C15" s="28" t="str">
        <x:v>Emp174 User174</x:v>
      </x:c>
      <x:c r="D15" s="28" t="str">
        <x:v>India</x:v>
      </x:c>
      <x:c r="E15" s="28" t="str">
        <x:v>Sales</x:v>
      </x:c>
      <x:c r="F15" s="28" t="str">
        <x:v>BambooHR</x:v>
      </x:c>
      <x:c r="G15" s="28" t="str">
        <x:v>No</x:v>
      </x:c>
      <x:c r="H15" s="28" t="str">
        <x:v>Yes</x:v>
      </x:c>
      <x:c r="I15" s="28" t="str">
        <x:v>Pending</x:v>
      </x:c>
      <x:c r="J15" s="28" t="str">
        <x:v>Pending</x:v>
      </x:c>
      <x:c r="K15" s="28" t="str">
        <x:v>High</x:v>
      </x:c>
      <x:c r="L15" s="45" t="str">
        <x:v>Required email value is missing; source of truth and validation are also pending.</x:v>
      </x:c>
      <x:c r="M15" s="45" t="str">
        <x:v>Obtain email from the authoritative source, validate format and uniqueness, then confirm source of truth and validation.</x:v>
      </x:c>
      <x:c r="N15" s="45" t="str">
        <x:v>To assign</x:v>
      </x:c>
      <x:c r="O15" s="45" t="str">
        <x:v>Ready for migration</x:v>
      </x:c>
      <x:c r="P15" s="46" t="str">
        <x:v>Source evidence, updated record, rule re-run and approver sign-off</x:v>
      </x:c>
    </x:row>
    <x:row r="16">
      <x:c r="A16" s="30" t="str">
        <x:v>DQ-011</x:v>
      </x:c>
      <x:c r="B16" s="31" t="n">
        <x:v>1185</x:v>
      </x:c>
      <x:c r="C16" s="31" t="str">
        <x:v>Emp185 User185</x:v>
      </x:c>
      <x:c r="D16" s="31" t="str">
        <x:v>USA</x:v>
      </x:c>
      <x:c r="E16" s="31" t="str">
        <x:v>Operations</x:v>
      </x:c>
      <x:c r="F16" s="31" t="str">
        <x:v>Xytech</x:v>
      </x:c>
      <x:c r="G16" s="31" t="str">
        <x:v>Yes</x:v>
      </x:c>
      <x:c r="H16" s="31" t="str">
        <x:v>No</x:v>
      </x:c>
      <x:c r="I16" s="31" t="str">
        <x:v>Pending</x:v>
      </x:c>
      <x:c r="J16" s="31" t="str">
        <x:v>Pending</x:v>
      </x:c>
      <x:c r="K16" s="31" t="str">
        <x:v>High</x:v>
      </x:c>
      <x:c r="L16" s="48" t="str">
        <x:v>Record is marked as duplicate; duplicate matching basis is not included in the dataset.</x:v>
      </x:c>
      <x:c r="M16" s="48" t="str">
        <x:v>Reconcile against authoritative systems, identify the surviving master record, merge/retire duplicates, then revalidate.</x:v>
      </x:c>
      <x:c r="N16" s="48" t="str">
        <x:v>To assign</x:v>
      </x:c>
      <x:c r="O16" s="48" t="str">
        <x:v>Ready for migration</x:v>
      </x:c>
      <x:c r="P16" s="49" t="str">
        <x:v>Source evidence, updated record, rule re-run and approver sign-off</x:v>
      </x:c>
    </x:row>
  </x:sheetData>
  <x:mergeCells>
    <x:mergeCell ref="A1:P2"/>
    <x:mergeCell ref="A3:P3"/>
  </x:mergeCells>
  <x:conditionalFormatting sqref="K6:K16">
    <x:cfRule type="expression" dxfId="7" priority="1">
      <x:formula>K6="High"</x:formula>
    </x:cfRule>
  </x:conditionalFormatting>
  <x:pageMargins left="0.7" right="0.7" top="0.75" bottom="0.75" header="0.3" footer="0.3"/>
  <x:tableParts count="1">
    <x:tablePart xmlns:r="http://schemas.openxmlformats.org/officeDocument/2006/relationships" r:id="R2d14e5436f1047ce"/>
  </x:tableParts>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4" hidden="0" customWidth="1"/>
    <x:col min="5" max="5" width="15" hidden="0" customWidth="1"/>
    <x:col min="6" max="6" width="25" hidden="0" customWidth="1"/>
    <x:col min="7" max="7" width="18" hidden="0" customWidth="1"/>
    <x:col min="8" max="8" width="15" hidden="0" customWidth="1"/>
    <x:col min="9" max="9" width="15" hidden="0" customWidth="1"/>
    <x:col min="10" max="10" width="15" hidden="0" customWidth="1"/>
    <x:col min="11" max="11" width="14" hidden="0" customWidth="1"/>
    <x:col min="12" max="12" width="14" hidden="0" customWidth="1"/>
    <x:col min="13" max="13" width="18" hidden="0" customWidth="1"/>
    <x:col min="14" max="14" width="18" hidden="0" customWidth="1"/>
    <x:col min="15" max="15" width="18" hidden="0" customWidth="1"/>
    <x:col min="16" max="16" width="18" hidden="0" customWidth="1"/>
    <x:col min="17" max="17" width="20" hidden="0" customWidth="1"/>
    <x:col min="18" max="18" width="16" hidden="0" customWidth="1"/>
    <x:col min="19" max="19" width="12" hidden="0" customWidth="1"/>
    <x:col min="20" max="20" width="16" hidden="0" customWidth="1"/>
    <x:col min="21" max="21" width="18" hidden="0" customWidth="1"/>
    <x:col min="22" max="22" width="42" hidden="0" customWidth="1"/>
  </x:cols>
  <x:sheetData>
    <x:row r="1">
      <x:c r="A1" s="499" t="str">
        <x:v>Employee_ID</x:v>
      </x:c>
      <x:c r="B1" s="500" t="str">
        <x:v>First_Name</x:v>
      </x:c>
      <x:c r="C1" s="500" t="str">
        <x:v>Last_Name</x:v>
      </x:c>
      <x:c r="D1" s="500" t="str">
        <x:v>Country</x:v>
      </x:c>
      <x:c r="E1" s="500" t="str">
        <x:v>Department</x:v>
      </x:c>
      <x:c r="F1" s="500" t="str">
        <x:v>Email</x:v>
      </x:c>
      <x:c r="G1" s="500" t="str">
        <x:v>AD_Username</x:v>
      </x:c>
      <x:c r="H1" s="500" t="str">
        <x:v>BambooHR_ID</x:v>
      </x:c>
      <x:c r="I1" s="500" t="str">
        <x:v>Maconomy_ID</x:v>
      </x:c>
      <x:c r="J1" s="500" t="str">
        <x:v>Xytech_ID</x:v>
      </x:c>
      <x:c r="K1" s="500" t="str">
        <x:v>Duplicate_Flag</x:v>
      </x:c>
      <x:c r="L1" s="500" t="str">
        <x:v>Missing_Email</x:v>
      </x:c>
      <x:c r="M1" s="500" t="str">
        <x:v>Data_Quality_Status</x:v>
      </x:c>
      <x:c r="N1" s="500" t="str">
        <x:v>Source_System</x:v>
      </x:c>
      <x:c r="O1" s="500" t="str">
        <x:v>Source_of_Truth</x:v>
      </x:c>
      <x:c r="P1" s="500" t="str">
        <x:v>Validation_Status</x:v>
      </x:c>
      <x:c r="Q1" s="500" t="str">
        <x:v>Actual_Key_Duplicate</x:v>
      </x:c>
      <x:c r="R1" s="500" t="str">
        <x:v>Email_Validity</x:v>
      </x:c>
      <x:c r="S1" s="500" t="str">
        <x:v>Issue_Count</x:v>
      </x:c>
      <x:c r="T1" s="500" t="str">
        <x:v>Row_Quality_Score</x:v>
      </x:c>
      <x:c r="U1" s="500" t="str">
        <x:v>Migration_Readiness</x:v>
      </x:c>
      <x:c r="V1" s="501" t="str">
        <x:v>Recommended_Action</x:v>
      </x:c>
    </x:row>
    <x:row r="2">
      <x:c r="A2" s="505" t="n">
        <x:v>1002</x:v>
      </x:c>
      <x:c r="B2" s="506" t="str">
        <x:v>Emp2</x:v>
      </x:c>
      <x:c r="C2" s="506" t="str">
        <x:v>User2</x:v>
      </x:c>
      <x:c r="D2" s="506" t="str">
        <x:v>UK</x:v>
      </x:c>
      <x:c r="E2" s="506" t="str">
        <x:v>HR</x:v>
      </x:c>
      <x:c r="F2" s="506" t="str">
        <x:v>emp2@company.com</x:v>
      </x:c>
      <x:c r="G2" s="506" t="str">
        <x:v>emp2</x:v>
      </x:c>
      <x:c r="H2" s="506" t="str">
        <x:v>BHR2</x:v>
      </x:c>
      <x:c r="I2" s="506" t="str">
        <x:v>MAC2</x:v>
      </x:c>
      <x:c r="J2" s="506" t="str">
        <x:v>XY2</x:v>
      </x:c>
      <x:c r="K2" s="506" t="str">
        <x:v>No</x:v>
      </x:c>
      <x:c r="L2" s="506" t="str">
        <x:v>No</x:v>
      </x:c>
      <x:c r="M2" s="506" t="str">
        <x:v>Clean</x:v>
      </x:c>
      <x:c r="N2" s="506" t="str">
        <x:v>BambooHR</x:v>
      </x:c>
      <x:c r="O2" s="506" t="str">
        <x:v>Confirmed</x:v>
      </x:c>
      <x:c r="P2" s="506" t="str">
        <x:v>Validated</x:v>
      </x:c>
      <x:c r="Q2" s="506" t="str">
        <x:f>IF(OR(COUNTIF($A$2:$A$201,A2)&gt;1,COUNTIF($G$2:$G$201,G2)&gt;1,AND(F2&lt;&gt;"",COUNTIF($F$2:$F$201,F2)&gt;1),COUNTIF($H$2:$H$201,H2)&gt;1,COUNTIF($I$2:$I$201,I2)&gt;1,COUNTIF($J$2:$J$201,J2)&gt;1),"Yes","No")</x:f>
        <x:v>No</x:v>
      </x:c>
      <x:c r="R2" s="506" t="str">
        <x:f>IF(F2="","Missing",IF(AND(ISNUMBER(SEARCH("@",F2)),ISNUMBER(SEARCH(".",F2))),"Valid","Invalid"))</x:f>
        <x:v>Valid</x:v>
      </x:c>
      <x:c r="S2" s="506" t="n">
        <x:f>IF(K2="Yes",1,0)+IF(L2="Yes",1,0)+IF(M2&lt;&gt;"Clean",1,0)+IF(O2&lt;&gt;"Confirmed",1,0)+IF(P2&lt;&gt;"Validated",1,0)+IF(Q2="Yes",1,0)+IF(R2&lt;&gt;"Valid",1,0)</x:f>
        <x:v>0</x:v>
      </x:c>
      <x:c r="T2" s="517" t="n">
        <x:f>MAX(0,1-S2/7)</x:f>
        <x:v>1</x:v>
      </x:c>
      <x:c r="U2" s="506" t="str">
        <x:f>IF(AND(K2="No",L2="No",M2="Clean",O2="Confirmed",P2="Validated",Q2="No",R2="Valid"),"Ready","Hold")</x:f>
        <x:v>Ready</x:v>
      </x:c>
      <x:c r="V2" s="507" t="str">
        <x:f>IF(U2="Ready","No action",IF(K2="Yes","Resolve duplicate and confirm surviving record",IF(L2="Yes","Populate and validate email","Complete remediation and validation")))</x:f>
        <x:v>No action</x:v>
      </x:c>
    </x:row>
    <x:row r="3">
      <x:c r="A3" s="505" t="n">
        <x:v>1003</x:v>
      </x:c>
      <x:c r="B3" s="506" t="str">
        <x:v>Emp3</x:v>
      </x:c>
      <x:c r="C3" s="506" t="str">
        <x:v>User3</x:v>
      </x:c>
      <x:c r="D3" s="506" t="str">
        <x:v>USA</x:v>
      </x:c>
      <x:c r="E3" s="506" t="str">
        <x:v>Finance</x:v>
      </x:c>
      <x:c r="F3" s="506" t="str">
        <x:v>emp3@company.com</x:v>
      </x:c>
      <x:c r="G3" s="506" t="str">
        <x:v>emp3</x:v>
      </x:c>
      <x:c r="H3" s="506" t="str">
        <x:v>BHR3</x:v>
      </x:c>
      <x:c r="I3" s="506" t="str">
        <x:v>MAC3</x:v>
      </x:c>
      <x:c r="J3" s="506" t="str">
        <x:v>XY3</x:v>
      </x:c>
      <x:c r="K3" s="506" t="str">
        <x:v>No</x:v>
      </x:c>
      <x:c r="L3" s="506" t="str">
        <x:v>No</x:v>
      </x:c>
      <x:c r="M3" s="506" t="str">
        <x:v>Clean</x:v>
      </x:c>
      <x:c r="N3" s="506" t="str">
        <x:v>Active Directory</x:v>
      </x:c>
      <x:c r="O3" s="506" t="str">
        <x:v>Confirmed</x:v>
      </x:c>
      <x:c r="P3" s="506" t="str">
        <x:v>Validated</x:v>
      </x:c>
      <x:c r="Q3" s="506" t="str">
        <x:f>IF(OR(COUNTIF($A$2:$A$201,A3)&gt;1,COUNTIF($G$2:$G$201,G3)&gt;1,AND(F3&lt;&gt;"",COUNTIF($F$2:$F$201,F3)&gt;1),COUNTIF($H$2:$H$201,H3)&gt;1,COUNTIF($I$2:$I$201,I3)&gt;1,COUNTIF($J$2:$J$201,J3)&gt;1),"Yes","No")</x:f>
        <x:v>No</x:v>
      </x:c>
      <x:c r="R3" s="506" t="str">
        <x:f>IF(F3="","Missing",IF(AND(ISNUMBER(SEARCH("@",F3)),ISNUMBER(SEARCH(".",F3))),"Valid","Invalid"))</x:f>
        <x:v>Valid</x:v>
      </x:c>
      <x:c r="S3" s="506" t="n">
        <x:f>IF(K3="Yes",1,0)+IF(L3="Yes",1,0)+IF(M3&lt;&gt;"Clean",1,0)+IF(O3&lt;&gt;"Confirmed",1,0)+IF(P3&lt;&gt;"Validated",1,0)+IF(Q3="Yes",1,0)+IF(R3&lt;&gt;"Valid",1,0)</x:f>
        <x:v>0</x:v>
      </x:c>
      <x:c r="T3" s="517" t="n">
        <x:f>MAX(0,1-S3/7)</x:f>
        <x:v>1</x:v>
      </x:c>
      <x:c r="U3" s="506" t="str">
        <x:f>IF(AND(K3="No",L3="No",M3="Clean",O3="Confirmed",P3="Validated",Q3="No",R3="Valid"),"Ready","Hold")</x:f>
        <x:v>Ready</x:v>
      </x:c>
      <x:c r="V3" s="507" t="str">
        <x:f>IF(U3="Ready","No action",IF(K3="Yes","Resolve duplicate and confirm surviving record",IF(L3="Yes","Populate and validate email","Complete remediation and validation")))</x:f>
        <x:v>No action</x:v>
      </x:c>
    </x:row>
    <x:row r="4">
      <x:c r="A4" s="505" t="n">
        <x:v>1004</x:v>
      </x:c>
      <x:c r="B4" s="506" t="str">
        <x:v>Emp4</x:v>
      </x:c>
      <x:c r="C4" s="506" t="str">
        <x:v>User4</x:v>
      </x:c>
      <x:c r="D4" s="506" t="str">
        <x:v>Canada</x:v>
      </x:c>
      <x:c r="E4" s="506" t="str">
        <x:v>IT</x:v>
      </x:c>
      <x:c r="F4" s="506" t="str">
        <x:v>emp4@company.com</x:v>
      </x:c>
      <x:c r="G4" s="506" t="str">
        <x:v>emp4</x:v>
      </x:c>
      <x:c r="H4" s="506" t="str">
        <x:v>BHR4</x:v>
      </x:c>
      <x:c r="I4" s="506" t="str">
        <x:v>MAC4</x:v>
      </x:c>
      <x:c r="J4" s="506" t="str">
        <x:v>XY4</x:v>
      </x:c>
      <x:c r="K4" s="506" t="str">
        <x:v>No</x:v>
      </x:c>
      <x:c r="L4" s="506" t="str">
        <x:v>No</x:v>
      </x:c>
      <x:c r="M4" s="506" t="str">
        <x:v>Clean</x:v>
      </x:c>
      <x:c r="N4" s="506" t="str">
        <x:v>Maconomy</x:v>
      </x:c>
      <x:c r="O4" s="506" t="str">
        <x:v>Confirmed</x:v>
      </x:c>
      <x:c r="P4" s="506" t="str">
        <x:v>Validated</x:v>
      </x:c>
      <x:c r="Q4" s="506" t="str">
        <x:f>IF(OR(COUNTIF($A$2:$A$201,A4)&gt;1,COUNTIF($G$2:$G$201,G4)&gt;1,AND(F4&lt;&gt;"",COUNTIF($F$2:$F$201,F4)&gt;1),COUNTIF($H$2:$H$201,H4)&gt;1,COUNTIF($I$2:$I$201,I4)&gt;1,COUNTIF($J$2:$J$201,J4)&gt;1),"Yes","No")</x:f>
        <x:v>No</x:v>
      </x:c>
      <x:c r="R4" s="506" t="str">
        <x:f>IF(F4="","Missing",IF(AND(ISNUMBER(SEARCH("@",F4)),ISNUMBER(SEARCH(".",F4))),"Valid","Invalid"))</x:f>
        <x:v>Valid</x:v>
      </x:c>
      <x:c r="S4" s="506" t="n">
        <x:f>IF(K4="Yes",1,0)+IF(L4="Yes",1,0)+IF(M4&lt;&gt;"Clean",1,0)+IF(O4&lt;&gt;"Confirmed",1,0)+IF(P4&lt;&gt;"Validated",1,0)+IF(Q4="Yes",1,0)+IF(R4&lt;&gt;"Valid",1,0)</x:f>
        <x:v>0</x:v>
      </x:c>
      <x:c r="T4" s="517" t="n">
        <x:f>MAX(0,1-S4/7)</x:f>
        <x:v>1</x:v>
      </x:c>
      <x:c r="U4" s="506" t="str">
        <x:f>IF(AND(K4="No",L4="No",M4="Clean",O4="Confirmed",P4="Validated",Q4="No",R4="Valid"),"Ready","Hold")</x:f>
        <x:v>Ready</x:v>
      </x:c>
      <x:c r="V4" s="507" t="str">
        <x:f>IF(U4="Ready","No action",IF(K4="Yes","Resolve duplicate and confirm surviving record",IF(L4="Yes","Populate and validate email","Complete remediation and validation")))</x:f>
        <x:v>No action</x:v>
      </x:c>
    </x:row>
    <x:row r="5">
      <x:c r="A5" s="505" t="n">
        <x:v>1005</x:v>
      </x:c>
      <x:c r="B5" s="506" t="str">
        <x:v>Emp5</x:v>
      </x:c>
      <x:c r="C5" s="506" t="str">
        <x:v>User5</x:v>
      </x:c>
      <x:c r="D5" s="506" t="str">
        <x:v>Germany</x:v>
      </x:c>
      <x:c r="E5" s="506" t="str">
        <x:v>Operations</x:v>
      </x:c>
      <x:c r="F5" s="506" t="str">
        <x:v>emp5@company.com</x:v>
      </x:c>
      <x:c r="G5" s="506" t="str">
        <x:v>emp5</x:v>
      </x:c>
      <x:c r="H5" s="506" t="str">
        <x:v>BHR5</x:v>
      </x:c>
      <x:c r="I5" s="506" t="str">
        <x:v>MAC5</x:v>
      </x:c>
      <x:c r="J5" s="506" t="str">
        <x:v>XY5</x:v>
      </x:c>
      <x:c r="K5" s="506" t="str">
        <x:v>No</x:v>
      </x:c>
      <x:c r="L5" s="506" t="str">
        <x:v>No</x:v>
      </x:c>
      <x:c r="M5" s="506" t="str">
        <x:v>Clean</x:v>
      </x:c>
      <x:c r="N5" s="506" t="str">
        <x:v>Xytech</x:v>
      </x:c>
      <x:c r="O5" s="506" t="str">
        <x:v>Confirmed</x:v>
      </x:c>
      <x:c r="P5" s="506" t="str">
        <x:v>Validated</x:v>
      </x:c>
      <x:c r="Q5" s="506" t="str">
        <x:f>IF(OR(COUNTIF($A$2:$A$201,A5)&gt;1,COUNTIF($G$2:$G$201,G5)&gt;1,AND(F5&lt;&gt;"",COUNTIF($F$2:$F$201,F5)&gt;1),COUNTIF($H$2:$H$201,H5)&gt;1,COUNTIF($I$2:$I$201,I5)&gt;1,COUNTIF($J$2:$J$201,J5)&gt;1),"Yes","No")</x:f>
        <x:v>No</x:v>
      </x:c>
      <x:c r="R5" s="506" t="str">
        <x:f>IF(F5="","Missing",IF(AND(ISNUMBER(SEARCH("@",F5)),ISNUMBER(SEARCH(".",F5))),"Valid","Invalid"))</x:f>
        <x:v>Valid</x:v>
      </x:c>
      <x:c r="S5" s="506" t="n">
        <x:f>IF(K5="Yes",1,0)+IF(L5="Yes",1,0)+IF(M5&lt;&gt;"Clean",1,0)+IF(O5&lt;&gt;"Confirmed",1,0)+IF(P5&lt;&gt;"Validated",1,0)+IF(Q5="Yes",1,0)+IF(R5&lt;&gt;"Valid",1,0)</x:f>
        <x:v>0</x:v>
      </x:c>
      <x:c r="T5" s="517" t="n">
        <x:f>MAX(0,1-S5/7)</x:f>
        <x:v>1</x:v>
      </x:c>
      <x:c r="U5" s="506" t="str">
        <x:f>IF(AND(K5="No",L5="No",M5="Clean",O5="Confirmed",P5="Validated",Q5="No",R5="Valid"),"Ready","Hold")</x:f>
        <x:v>Ready</x:v>
      </x:c>
      <x:c r="V5" s="507" t="str">
        <x:f>IF(U5="Ready","No action",IF(K5="Yes","Resolve duplicate and confirm surviving record",IF(L5="Yes","Populate and validate email","Complete remediation and validation")))</x:f>
        <x:v>No action</x:v>
      </x:c>
    </x:row>
    <x:row r="6">
      <x:c r="A6" s="505" t="n">
        <x:v>1006</x:v>
      </x:c>
      <x:c r="B6" s="506" t="str">
        <x:v>Emp6</x:v>
      </x:c>
      <x:c r="C6" s="506" t="str">
        <x:v>User6</x:v>
      </x:c>
      <x:c r="D6" s="506" t="str">
        <x:v>India</x:v>
      </x:c>
      <x:c r="E6" s="506" t="str">
        <x:v>Sales</x:v>
      </x:c>
      <x:c r="F6" s="506" t="str">
        <x:v>emp6@company.com</x:v>
      </x:c>
      <x:c r="G6" s="506" t="str">
        <x:v>emp6</x:v>
      </x:c>
      <x:c r="H6" s="506" t="str">
        <x:v>BHR6</x:v>
      </x:c>
      <x:c r="I6" s="506" t="str">
        <x:v>MAC6</x:v>
      </x:c>
      <x:c r="J6" s="506" t="str">
        <x:v>XY6</x:v>
      </x:c>
      <x:c r="K6" s="506" t="str">
        <x:v>No</x:v>
      </x:c>
      <x:c r="L6" s="506" t="str">
        <x:v>No</x:v>
      </x:c>
      <x:c r="M6" s="506" t="str">
        <x:v>Clean</x:v>
      </x:c>
      <x:c r="N6" s="506" t="str">
        <x:v>BambooHR</x:v>
      </x:c>
      <x:c r="O6" s="506" t="str">
        <x:v>Confirmed</x:v>
      </x:c>
      <x:c r="P6" s="506" t="str">
        <x:v>Validated</x:v>
      </x:c>
      <x:c r="Q6" s="506" t="str">
        <x:f>IF(OR(COUNTIF($A$2:$A$201,A6)&gt;1,COUNTIF($G$2:$G$201,G6)&gt;1,AND(F6&lt;&gt;"",COUNTIF($F$2:$F$201,F6)&gt;1),COUNTIF($H$2:$H$201,H6)&gt;1,COUNTIF($I$2:$I$201,I6)&gt;1,COUNTIF($J$2:$J$201,J6)&gt;1),"Yes","No")</x:f>
        <x:v>No</x:v>
      </x:c>
      <x:c r="R6" s="506" t="str">
        <x:f>IF(F6="","Missing",IF(AND(ISNUMBER(SEARCH("@",F6)),ISNUMBER(SEARCH(".",F6))),"Valid","Invalid"))</x:f>
        <x:v>Valid</x:v>
      </x:c>
      <x:c r="S6" s="506" t="n">
        <x:f>IF(K6="Yes",1,0)+IF(L6="Yes",1,0)+IF(M6&lt;&gt;"Clean",1,0)+IF(O6&lt;&gt;"Confirmed",1,0)+IF(P6&lt;&gt;"Validated",1,0)+IF(Q6="Yes",1,0)+IF(R6&lt;&gt;"Valid",1,0)</x:f>
        <x:v>0</x:v>
      </x:c>
      <x:c r="T6" s="517" t="n">
        <x:f>MAX(0,1-S6/7)</x:f>
        <x:v>1</x:v>
      </x:c>
      <x:c r="U6" s="506" t="str">
        <x:f>IF(AND(K6="No",L6="No",M6="Clean",O6="Confirmed",P6="Validated",Q6="No",R6="Valid"),"Ready","Hold")</x:f>
        <x:v>Ready</x:v>
      </x:c>
      <x:c r="V6" s="507" t="str">
        <x:f>IF(U6="Ready","No action",IF(K6="Yes","Resolve duplicate and confirm surviving record",IF(L6="Yes","Populate and validate email","Complete remediation and validation")))</x:f>
        <x:v>No action</x:v>
      </x:c>
    </x:row>
    <x:row r="7">
      <x:c r="A7" s="505" t="n">
        <x:v>1007</x:v>
      </x:c>
      <x:c r="B7" s="506" t="str">
        <x:v>Emp7</x:v>
      </x:c>
      <x:c r="C7" s="506" t="str">
        <x:v>User7</x:v>
      </x:c>
      <x:c r="D7" s="506" t="str">
        <x:v>Australia</x:v>
      </x:c>
      <x:c r="E7" s="506" t="str">
        <x:v>Marketing</x:v>
      </x:c>
      <x:c r="F7" s="506" t="str">
        <x:v>emp7@company.com</x:v>
      </x:c>
      <x:c r="G7" s="506" t="str">
        <x:v>emp7</x:v>
      </x:c>
      <x:c r="H7" s="506" t="str">
        <x:v>BHR7</x:v>
      </x:c>
      <x:c r="I7" s="506" t="str">
        <x:v>MAC7</x:v>
      </x:c>
      <x:c r="J7" s="506" t="str">
        <x:v>XY7</x:v>
      </x:c>
      <x:c r="K7" s="506" t="str">
        <x:v>No</x:v>
      </x:c>
      <x:c r="L7" s="506" t="str">
        <x:v>No</x:v>
      </x:c>
      <x:c r="M7" s="506" t="str">
        <x:v>Clean</x:v>
      </x:c>
      <x:c r="N7" s="506" t="str">
        <x:v>Active Directory</x:v>
      </x:c>
      <x:c r="O7" s="506" t="str">
        <x:v>Confirmed</x:v>
      </x:c>
      <x:c r="P7" s="506" t="str">
        <x:v>Validated</x:v>
      </x:c>
      <x:c r="Q7" s="506" t="str">
        <x:f>IF(OR(COUNTIF($A$2:$A$201,A7)&gt;1,COUNTIF($G$2:$G$201,G7)&gt;1,AND(F7&lt;&gt;"",COUNTIF($F$2:$F$201,F7)&gt;1),COUNTIF($H$2:$H$201,H7)&gt;1,COUNTIF($I$2:$I$201,I7)&gt;1,COUNTIF($J$2:$J$201,J7)&gt;1),"Yes","No")</x:f>
        <x:v>No</x:v>
      </x:c>
      <x:c r="R7" s="506" t="str">
        <x:f>IF(F7="","Missing",IF(AND(ISNUMBER(SEARCH("@",F7)),ISNUMBER(SEARCH(".",F7))),"Valid","Invalid"))</x:f>
        <x:v>Valid</x:v>
      </x:c>
      <x:c r="S7" s="506" t="n">
        <x:f>IF(K7="Yes",1,0)+IF(L7="Yes",1,0)+IF(M7&lt;&gt;"Clean",1,0)+IF(O7&lt;&gt;"Confirmed",1,0)+IF(P7&lt;&gt;"Validated",1,0)+IF(Q7="Yes",1,0)+IF(R7&lt;&gt;"Valid",1,0)</x:f>
        <x:v>0</x:v>
      </x:c>
      <x:c r="T7" s="517" t="n">
        <x:f>MAX(0,1-S7/7)</x:f>
        <x:v>1</x:v>
      </x:c>
      <x:c r="U7" s="506" t="str">
        <x:f>IF(AND(K7="No",L7="No",M7="Clean",O7="Confirmed",P7="Validated",Q7="No",R7="Valid"),"Ready","Hold")</x:f>
        <x:v>Ready</x:v>
      </x:c>
      <x:c r="V7" s="507" t="str">
        <x:f>IF(U7="Ready","No action",IF(K7="Yes","Resolve duplicate and confirm surviving record",IF(L7="Yes","Populate and validate email","Complete remediation and validation")))</x:f>
        <x:v>No action</x:v>
      </x:c>
    </x:row>
    <x:row r="8">
      <x:c r="A8" s="505" t="n">
        <x:v>1008</x:v>
      </x:c>
      <x:c r="B8" s="506" t="str">
        <x:v>Emp8</x:v>
      </x:c>
      <x:c r="C8" s="506" t="str">
        <x:v>User8</x:v>
      </x:c>
      <x:c r="D8" s="506" t="str">
        <x:v>UAE</x:v>
      </x:c>
      <x:c r="E8" s="506" t="str">
        <x:v>HR</x:v>
      </x:c>
      <x:c r="F8" s="506" t="str">
        <x:v>emp8@company.com</x:v>
      </x:c>
      <x:c r="G8" s="506" t="str">
        <x:v>emp8</x:v>
      </x:c>
      <x:c r="H8" s="506" t="str">
        <x:v>BHR8</x:v>
      </x:c>
      <x:c r="I8" s="506" t="str">
        <x:v>MAC8</x:v>
      </x:c>
      <x:c r="J8" s="506" t="str">
        <x:v>XY8</x:v>
      </x:c>
      <x:c r="K8" s="506" t="str">
        <x:v>No</x:v>
      </x:c>
      <x:c r="L8" s="506" t="str">
        <x:v>No</x:v>
      </x:c>
      <x:c r="M8" s="506" t="str">
        <x:v>Clean</x:v>
      </x:c>
      <x:c r="N8" s="506" t="str">
        <x:v>Maconomy</x:v>
      </x:c>
      <x:c r="O8" s="506" t="str">
        <x:v>Confirmed</x:v>
      </x:c>
      <x:c r="P8" s="506" t="str">
        <x:v>Validated</x:v>
      </x:c>
      <x:c r="Q8" s="506" t="str">
        <x:f>IF(OR(COUNTIF($A$2:$A$201,A8)&gt;1,COUNTIF($G$2:$G$201,G8)&gt;1,AND(F8&lt;&gt;"",COUNTIF($F$2:$F$201,F8)&gt;1),COUNTIF($H$2:$H$201,H8)&gt;1,COUNTIF($I$2:$I$201,I8)&gt;1,COUNTIF($J$2:$J$201,J8)&gt;1),"Yes","No")</x:f>
        <x:v>No</x:v>
      </x:c>
      <x:c r="R8" s="506" t="str">
        <x:f>IF(F8="","Missing",IF(AND(ISNUMBER(SEARCH("@",F8)),ISNUMBER(SEARCH(".",F8))),"Valid","Invalid"))</x:f>
        <x:v>Valid</x:v>
      </x:c>
      <x:c r="S8" s="506" t="n">
        <x:f>IF(K8="Yes",1,0)+IF(L8="Yes",1,0)+IF(M8&lt;&gt;"Clean",1,0)+IF(O8&lt;&gt;"Confirmed",1,0)+IF(P8&lt;&gt;"Validated",1,0)+IF(Q8="Yes",1,0)+IF(R8&lt;&gt;"Valid",1,0)</x:f>
        <x:v>0</x:v>
      </x:c>
      <x:c r="T8" s="517" t="n">
        <x:f>MAX(0,1-S8/7)</x:f>
        <x:v>1</x:v>
      </x:c>
      <x:c r="U8" s="506" t="str">
        <x:f>IF(AND(K8="No",L8="No",M8="Clean",O8="Confirmed",P8="Validated",Q8="No",R8="Valid"),"Ready","Hold")</x:f>
        <x:v>Ready</x:v>
      </x:c>
      <x:c r="V8" s="507" t="str">
        <x:f>IF(U8="Ready","No action",IF(K8="Yes","Resolve duplicate and confirm surviving record",IF(L8="Yes","Populate and validate email","Complete remediation and validation")))</x:f>
        <x:v>No action</x:v>
      </x:c>
    </x:row>
    <x:row r="9">
      <x:c r="A9" s="505" t="n">
        <x:v>1009</x:v>
      </x:c>
      <x:c r="B9" s="506" t="str">
        <x:v>Emp9</x:v>
      </x:c>
      <x:c r="C9" s="506" t="str">
        <x:v>User9</x:v>
      </x:c>
      <x:c r="D9" s="506" t="str">
        <x:v>France</x:v>
      </x:c>
      <x:c r="E9" s="506" t="str">
        <x:v>Finance</x:v>
      </x:c>
      <x:c r="F9" s="506" t="str">
        <x:v>emp9@company.com</x:v>
      </x:c>
      <x:c r="G9" s="506" t="str">
        <x:v>emp9</x:v>
      </x:c>
      <x:c r="H9" s="506" t="str">
        <x:v>BHR9</x:v>
      </x:c>
      <x:c r="I9" s="506" t="str">
        <x:v>MAC9</x:v>
      </x:c>
      <x:c r="J9" s="506" t="str">
        <x:v>XY9</x:v>
      </x:c>
      <x:c r="K9" s="506" t="str">
        <x:v>No</x:v>
      </x:c>
      <x:c r="L9" s="506" t="str">
        <x:v>No</x:v>
      </x:c>
      <x:c r="M9" s="506" t="str">
        <x:v>Clean</x:v>
      </x:c>
      <x:c r="N9" s="506" t="str">
        <x:v>Xytech</x:v>
      </x:c>
      <x:c r="O9" s="506" t="str">
        <x:v>Confirmed</x:v>
      </x:c>
      <x:c r="P9" s="506" t="str">
        <x:v>Validated</x:v>
      </x:c>
      <x:c r="Q9" s="506" t="str">
        <x:f>IF(OR(COUNTIF($A$2:$A$201,A9)&gt;1,COUNTIF($G$2:$G$201,G9)&gt;1,AND(F9&lt;&gt;"",COUNTIF($F$2:$F$201,F9)&gt;1),COUNTIF($H$2:$H$201,H9)&gt;1,COUNTIF($I$2:$I$201,I9)&gt;1,COUNTIF($J$2:$J$201,J9)&gt;1),"Yes","No")</x:f>
        <x:v>No</x:v>
      </x:c>
      <x:c r="R9" s="506" t="str">
        <x:f>IF(F9="","Missing",IF(AND(ISNUMBER(SEARCH("@",F9)),ISNUMBER(SEARCH(".",F9))),"Valid","Invalid"))</x:f>
        <x:v>Valid</x:v>
      </x:c>
      <x:c r="S9" s="506" t="n">
        <x:f>IF(K9="Yes",1,0)+IF(L9="Yes",1,0)+IF(M9&lt;&gt;"Clean",1,0)+IF(O9&lt;&gt;"Confirmed",1,0)+IF(P9&lt;&gt;"Validated",1,0)+IF(Q9="Yes",1,0)+IF(R9&lt;&gt;"Valid",1,0)</x:f>
        <x:v>0</x:v>
      </x:c>
      <x:c r="T9" s="517" t="n">
        <x:f>MAX(0,1-S9/7)</x:f>
        <x:v>1</x:v>
      </x:c>
      <x:c r="U9" s="506" t="str">
        <x:f>IF(AND(K9="No",L9="No",M9="Clean",O9="Confirmed",P9="Validated",Q9="No",R9="Valid"),"Ready","Hold")</x:f>
        <x:v>Ready</x:v>
      </x:c>
      <x:c r="V9" s="507" t="str">
        <x:f>IF(U9="Ready","No action",IF(K9="Yes","Resolve duplicate and confirm surviving record",IF(L9="Yes","Populate and validate email","Complete remediation and validation")))</x:f>
        <x:v>No action</x:v>
      </x:c>
    </x:row>
    <x:row r="10">
      <x:c r="A10" s="505" t="n">
        <x:v>1010</x:v>
      </x:c>
      <x:c r="B10" s="506" t="str">
        <x:v>Emp10</x:v>
      </x:c>
      <x:c r="C10" s="506" t="str">
        <x:v>User10</x:v>
      </x:c>
      <x:c r="D10" s="506" t="str">
        <x:v>Nigeria</x:v>
      </x:c>
      <x:c r="E10" s="506" t="str">
        <x:v>IT</x:v>
      </x:c>
      <x:c r="F10" s="506" t="str">
        <x:v>emp10@company.com</x:v>
      </x:c>
      <x:c r="G10" s="506" t="str">
        <x:v>emp10</x:v>
      </x:c>
      <x:c r="H10" s="506" t="str">
        <x:v>BHR10</x:v>
      </x:c>
      <x:c r="I10" s="506" t="str">
        <x:v>MAC10</x:v>
      </x:c>
      <x:c r="J10" s="506" t="str">
        <x:v>XY10</x:v>
      </x:c>
      <x:c r="K10" s="506" t="str">
        <x:v>No</x:v>
      </x:c>
      <x:c r="L10" s="506" t="str">
        <x:v>No</x:v>
      </x:c>
      <x:c r="M10" s="506" t="str">
        <x:v>Clean</x:v>
      </x:c>
      <x:c r="N10" s="506" t="str">
        <x:v>BambooHR</x:v>
      </x:c>
      <x:c r="O10" s="506" t="str">
        <x:v>Confirmed</x:v>
      </x:c>
      <x:c r="P10" s="506" t="str">
        <x:v>Validated</x:v>
      </x:c>
      <x:c r="Q10" s="506" t="str">
        <x:f>IF(OR(COUNTIF($A$2:$A$201,A10)&gt;1,COUNTIF($G$2:$G$201,G10)&gt;1,AND(F10&lt;&gt;"",COUNTIF($F$2:$F$201,F10)&gt;1),COUNTIF($H$2:$H$201,H10)&gt;1,COUNTIF($I$2:$I$201,I10)&gt;1,COUNTIF($J$2:$J$201,J10)&gt;1),"Yes","No")</x:f>
        <x:v>No</x:v>
      </x:c>
      <x:c r="R10" s="506" t="str">
        <x:f>IF(F10="","Missing",IF(AND(ISNUMBER(SEARCH("@",F10)),ISNUMBER(SEARCH(".",F10))),"Valid","Invalid"))</x:f>
        <x:v>Valid</x:v>
      </x:c>
      <x:c r="S10" s="506" t="n">
        <x:f>IF(K10="Yes",1,0)+IF(L10="Yes",1,0)+IF(M10&lt;&gt;"Clean",1,0)+IF(O10&lt;&gt;"Confirmed",1,0)+IF(P10&lt;&gt;"Validated",1,0)+IF(Q10="Yes",1,0)+IF(R10&lt;&gt;"Valid",1,0)</x:f>
        <x:v>0</x:v>
      </x:c>
      <x:c r="T10" s="517" t="n">
        <x:f>MAX(0,1-S10/7)</x:f>
        <x:v>1</x:v>
      </x:c>
      <x:c r="U10" s="506" t="str">
        <x:f>IF(AND(K10="No",L10="No",M10="Clean",O10="Confirmed",P10="Validated",Q10="No",R10="Valid"),"Ready","Hold")</x:f>
        <x:v>Ready</x:v>
      </x:c>
      <x:c r="V10" s="507" t="str">
        <x:f>IF(U10="Ready","No action",IF(K10="Yes","Resolve duplicate and confirm surviving record",IF(L10="Yes","Populate and validate email","Complete remediation and validation")))</x:f>
        <x:v>No action</x:v>
      </x:c>
    </x:row>
    <x:row r="11">
      <x:c r="A11" s="505" t="n">
        <x:v>1011</x:v>
      </x:c>
      <x:c r="B11" s="506" t="str">
        <x:v>Emp11</x:v>
      </x:c>
      <x:c r="C11" s="506" t="str">
        <x:v>User11</x:v>
      </x:c>
      <x:c r="D11" s="506" t="str">
        <x:v>Gambia</x:v>
      </x:c>
      <x:c r="E11" s="506" t="str">
        <x:v>Operations</x:v>
      </x:c>
      <x:c r="F11" s="506" t="str">
        <x:v>emp11@company.com</x:v>
      </x:c>
      <x:c r="G11" s="506" t="str">
        <x:v>emp11</x:v>
      </x:c>
      <x:c r="H11" s="506" t="str">
        <x:v>BHR11</x:v>
      </x:c>
      <x:c r="I11" s="506" t="str">
        <x:v>MAC11</x:v>
      </x:c>
      <x:c r="J11" s="506" t="str">
        <x:v>XY11</x:v>
      </x:c>
      <x:c r="K11" s="506" t="str">
        <x:v>No</x:v>
      </x:c>
      <x:c r="L11" s="506" t="str">
        <x:v>No</x:v>
      </x:c>
      <x:c r="M11" s="506" t="str">
        <x:v>Clean</x:v>
      </x:c>
      <x:c r="N11" s="506" t="str">
        <x:v>Active Directory</x:v>
      </x:c>
      <x:c r="O11" s="506" t="str">
        <x:v>Confirmed</x:v>
      </x:c>
      <x:c r="P11" s="506" t="str">
        <x:v>Validated</x:v>
      </x:c>
      <x:c r="Q11" s="506" t="str">
        <x:f>IF(OR(COUNTIF($A$2:$A$201,A11)&gt;1,COUNTIF($G$2:$G$201,G11)&gt;1,AND(F11&lt;&gt;"",COUNTIF($F$2:$F$201,F11)&gt;1),COUNTIF($H$2:$H$201,H11)&gt;1,COUNTIF($I$2:$I$201,I11)&gt;1,COUNTIF($J$2:$J$201,J11)&gt;1),"Yes","No")</x:f>
        <x:v>No</x:v>
      </x:c>
      <x:c r="R11" s="506" t="str">
        <x:f>IF(F11="","Missing",IF(AND(ISNUMBER(SEARCH("@",F11)),ISNUMBER(SEARCH(".",F11))),"Valid","Invalid"))</x:f>
        <x:v>Valid</x:v>
      </x:c>
      <x:c r="S11" s="506" t="n">
        <x:f>IF(K11="Yes",1,0)+IF(L11="Yes",1,0)+IF(M11&lt;&gt;"Clean",1,0)+IF(O11&lt;&gt;"Confirmed",1,0)+IF(P11&lt;&gt;"Validated",1,0)+IF(Q11="Yes",1,0)+IF(R11&lt;&gt;"Valid",1,0)</x:f>
        <x:v>0</x:v>
      </x:c>
      <x:c r="T11" s="517" t="n">
        <x:f>MAX(0,1-S11/7)</x:f>
        <x:v>1</x:v>
      </x:c>
      <x:c r="U11" s="506" t="str">
        <x:f>IF(AND(K11="No",L11="No",M11="Clean",O11="Confirmed",P11="Validated",Q11="No",R11="Valid"),"Ready","Hold")</x:f>
        <x:v>Ready</x:v>
      </x:c>
      <x:c r="V11" s="507" t="str">
        <x:f>IF(U11="Ready","No action",IF(K11="Yes","Resolve duplicate and confirm surviving record",IF(L11="Yes","Populate and validate email","Complete remediation and validation")))</x:f>
        <x:v>No action</x:v>
      </x:c>
    </x:row>
    <x:row r="12">
      <x:c r="A12" s="505" t="n">
        <x:v>1012</x:v>
      </x:c>
      <x:c r="B12" s="506" t="str">
        <x:v>Emp12</x:v>
      </x:c>
      <x:c r="C12" s="506" t="str">
        <x:v>User12</x:v>
      </x:c>
      <x:c r="D12" s="506" t="str">
        <x:v>Spain</x:v>
      </x:c>
      <x:c r="E12" s="506" t="str">
        <x:v>Sales</x:v>
      </x:c>
      <x:c r="F12" s="506" t="str">
        <x:v>emp12@company.com</x:v>
      </x:c>
      <x:c r="G12" s="506" t="str">
        <x:v>emp12</x:v>
      </x:c>
      <x:c r="H12" s="506" t="str">
        <x:v>BHR12</x:v>
      </x:c>
      <x:c r="I12" s="506" t="str">
        <x:v>MAC12</x:v>
      </x:c>
      <x:c r="J12" s="506" t="str">
        <x:v>XY12</x:v>
      </x:c>
      <x:c r="K12" s="506" t="str">
        <x:v>No</x:v>
      </x:c>
      <x:c r="L12" s="506" t="str">
        <x:v>No</x:v>
      </x:c>
      <x:c r="M12" s="506" t="str">
        <x:v>Clean</x:v>
      </x:c>
      <x:c r="N12" s="506" t="str">
        <x:v>Maconomy</x:v>
      </x:c>
      <x:c r="O12" s="506" t="str">
        <x:v>Confirmed</x:v>
      </x:c>
      <x:c r="P12" s="506" t="str">
        <x:v>Validated</x:v>
      </x:c>
      <x:c r="Q12" s="506" t="str">
        <x:f>IF(OR(COUNTIF($A$2:$A$201,A12)&gt;1,COUNTIF($G$2:$G$201,G12)&gt;1,AND(F12&lt;&gt;"",COUNTIF($F$2:$F$201,F12)&gt;1),COUNTIF($H$2:$H$201,H12)&gt;1,COUNTIF($I$2:$I$201,I12)&gt;1,COUNTIF($J$2:$J$201,J12)&gt;1),"Yes","No")</x:f>
        <x:v>No</x:v>
      </x:c>
      <x:c r="R12" s="506" t="str">
        <x:f>IF(F12="","Missing",IF(AND(ISNUMBER(SEARCH("@",F12)),ISNUMBER(SEARCH(".",F12))),"Valid","Invalid"))</x:f>
        <x:v>Valid</x:v>
      </x:c>
      <x:c r="S12" s="506" t="n">
        <x:f>IF(K12="Yes",1,0)+IF(L12="Yes",1,0)+IF(M12&lt;&gt;"Clean",1,0)+IF(O12&lt;&gt;"Confirmed",1,0)+IF(P12&lt;&gt;"Validated",1,0)+IF(Q12="Yes",1,0)+IF(R12&lt;&gt;"Valid",1,0)</x:f>
        <x:v>0</x:v>
      </x:c>
      <x:c r="T12" s="517" t="n">
        <x:f>MAX(0,1-S12/7)</x:f>
        <x:v>1</x:v>
      </x:c>
      <x:c r="U12" s="506" t="str">
        <x:f>IF(AND(K12="No",L12="No",M12="Clean",O12="Confirmed",P12="Validated",Q12="No",R12="Valid"),"Ready","Hold")</x:f>
        <x:v>Ready</x:v>
      </x:c>
      <x:c r="V12" s="507" t="str">
        <x:f>IF(U12="Ready","No action",IF(K12="Yes","Resolve duplicate and confirm surviving record",IF(L12="Yes","Populate and validate email","Complete remediation and validation")))</x:f>
        <x:v>No action</x:v>
      </x:c>
    </x:row>
    <x:row r="13">
      <x:c r="A13" s="505" t="n">
        <x:v>1013</x:v>
      </x:c>
      <x:c r="B13" s="506" t="str">
        <x:v>Emp13</x:v>
      </x:c>
      <x:c r="C13" s="506" t="str">
        <x:v>User13</x:v>
      </x:c>
      <x:c r="D13" s="506" t="str">
        <x:v>Netherlands</x:v>
      </x:c>
      <x:c r="E13" s="506" t="str">
        <x:v>Marketing</x:v>
      </x:c>
      <x:c r="F13" s="506" t="str">
        <x:v>emp13@company.com</x:v>
      </x:c>
      <x:c r="G13" s="506" t="str">
        <x:v>emp13</x:v>
      </x:c>
      <x:c r="H13" s="506" t="str">
        <x:v>BHR13</x:v>
      </x:c>
      <x:c r="I13" s="506" t="str">
        <x:v>MAC13</x:v>
      </x:c>
      <x:c r="J13" s="506" t="str">
        <x:v>XY13</x:v>
      </x:c>
      <x:c r="K13" s="506" t="str">
        <x:v>No</x:v>
      </x:c>
      <x:c r="L13" s="506" t="str">
        <x:v>No</x:v>
      </x:c>
      <x:c r="M13" s="506" t="str">
        <x:v>Clean</x:v>
      </x:c>
      <x:c r="N13" s="506" t="str">
        <x:v>Xytech</x:v>
      </x:c>
      <x:c r="O13" s="506" t="str">
        <x:v>Confirmed</x:v>
      </x:c>
      <x:c r="P13" s="506" t="str">
        <x:v>Validated</x:v>
      </x:c>
      <x:c r="Q13" s="506" t="str">
        <x:f>IF(OR(COUNTIF($A$2:$A$201,A13)&gt;1,COUNTIF($G$2:$G$201,G13)&gt;1,AND(F13&lt;&gt;"",COUNTIF($F$2:$F$201,F13)&gt;1),COUNTIF($H$2:$H$201,H13)&gt;1,COUNTIF($I$2:$I$201,I13)&gt;1,COUNTIF($J$2:$J$201,J13)&gt;1),"Yes","No")</x:f>
        <x:v>No</x:v>
      </x:c>
      <x:c r="R13" s="506" t="str">
        <x:f>IF(F13="","Missing",IF(AND(ISNUMBER(SEARCH("@",F13)),ISNUMBER(SEARCH(".",F13))),"Valid","Invalid"))</x:f>
        <x:v>Valid</x:v>
      </x:c>
      <x:c r="S13" s="506" t="n">
        <x:f>IF(K13="Yes",1,0)+IF(L13="Yes",1,0)+IF(M13&lt;&gt;"Clean",1,0)+IF(O13&lt;&gt;"Confirmed",1,0)+IF(P13&lt;&gt;"Validated",1,0)+IF(Q13="Yes",1,0)+IF(R13&lt;&gt;"Valid",1,0)</x:f>
        <x:v>0</x:v>
      </x:c>
      <x:c r="T13" s="517" t="n">
        <x:f>MAX(0,1-S13/7)</x:f>
        <x:v>1</x:v>
      </x:c>
      <x:c r="U13" s="506" t="str">
        <x:f>IF(AND(K13="No",L13="No",M13="Clean",O13="Confirmed",P13="Validated",Q13="No",R13="Valid"),"Ready","Hold")</x:f>
        <x:v>Ready</x:v>
      </x:c>
      <x:c r="V13" s="507" t="str">
        <x:f>IF(U13="Ready","No action",IF(K13="Yes","Resolve duplicate and confirm surviving record",IF(L13="Yes","Populate and validate email","Complete remediation and validation")))</x:f>
        <x:v>No action</x:v>
      </x:c>
    </x:row>
    <x:row r="14">
      <x:c r="A14" s="505" t="n">
        <x:v>1014</x:v>
      </x:c>
      <x:c r="B14" s="506" t="str">
        <x:v>Emp14</x:v>
      </x:c>
      <x:c r="C14" s="506" t="str">
        <x:v>User14</x:v>
      </x:c>
      <x:c r="D14" s="506" t="str">
        <x:v>Singapore</x:v>
      </x:c>
      <x:c r="E14" s="506" t="str">
        <x:v>HR</x:v>
      </x:c>
      <x:c r="F14" s="506" t="str">
        <x:v>emp14@company.com</x:v>
      </x:c>
      <x:c r="G14" s="506" t="str">
        <x:v>emp14</x:v>
      </x:c>
      <x:c r="H14" s="506" t="str">
        <x:v>BHR14</x:v>
      </x:c>
      <x:c r="I14" s="506" t="str">
        <x:v>MAC14</x:v>
      </x:c>
      <x:c r="J14" s="506" t="str">
        <x:v>XY14</x:v>
      </x:c>
      <x:c r="K14" s="506" t="str">
        <x:v>No</x:v>
      </x:c>
      <x:c r="L14" s="506" t="str">
        <x:v>No</x:v>
      </x:c>
      <x:c r="M14" s="506" t="str">
        <x:v>Clean</x:v>
      </x:c>
      <x:c r="N14" s="506" t="str">
        <x:v>BambooHR</x:v>
      </x:c>
      <x:c r="O14" s="506" t="str">
        <x:v>Confirmed</x:v>
      </x:c>
      <x:c r="P14" s="506" t="str">
        <x:v>Validated</x:v>
      </x:c>
      <x:c r="Q14" s="506" t="str">
        <x:f>IF(OR(COUNTIF($A$2:$A$201,A14)&gt;1,COUNTIF($G$2:$G$201,G14)&gt;1,AND(F14&lt;&gt;"",COUNTIF($F$2:$F$201,F14)&gt;1),COUNTIF($H$2:$H$201,H14)&gt;1,COUNTIF($I$2:$I$201,I14)&gt;1,COUNTIF($J$2:$J$201,J14)&gt;1),"Yes","No")</x:f>
        <x:v>No</x:v>
      </x:c>
      <x:c r="R14" s="506" t="str">
        <x:f>IF(F14="","Missing",IF(AND(ISNUMBER(SEARCH("@",F14)),ISNUMBER(SEARCH(".",F14))),"Valid","Invalid"))</x:f>
        <x:v>Valid</x:v>
      </x:c>
      <x:c r="S14" s="506" t="n">
        <x:f>IF(K14="Yes",1,0)+IF(L14="Yes",1,0)+IF(M14&lt;&gt;"Clean",1,0)+IF(O14&lt;&gt;"Confirmed",1,0)+IF(P14&lt;&gt;"Validated",1,0)+IF(Q14="Yes",1,0)+IF(R14&lt;&gt;"Valid",1,0)</x:f>
        <x:v>0</x:v>
      </x:c>
      <x:c r="T14" s="517" t="n">
        <x:f>MAX(0,1-S14/7)</x:f>
        <x:v>1</x:v>
      </x:c>
      <x:c r="U14" s="506" t="str">
        <x:f>IF(AND(K14="No",L14="No",M14="Clean",O14="Confirmed",P14="Validated",Q14="No",R14="Valid"),"Ready","Hold")</x:f>
        <x:v>Ready</x:v>
      </x:c>
      <x:c r="V14" s="507" t="str">
        <x:f>IF(U14="Ready","No action",IF(K14="Yes","Resolve duplicate and confirm surviving record",IF(L14="Yes","Populate and validate email","Complete remediation and validation")))</x:f>
        <x:v>No action</x:v>
      </x:c>
    </x:row>
    <x:row r="15">
      <x:c r="A15" s="505" t="n">
        <x:v>1015</x:v>
      </x:c>
      <x:c r="B15" s="506" t="str">
        <x:v>Emp15</x:v>
      </x:c>
      <x:c r="C15" s="506" t="str">
        <x:v>User15</x:v>
      </x:c>
      <x:c r="D15" s="506" t="str">
        <x:v>Brazil</x:v>
      </x:c>
      <x:c r="E15" s="506" t="str">
        <x:v>Finance</x:v>
      </x:c>
      <x:c r="F15" s="506" t="str">
        <x:v>emp15@company.com</x:v>
      </x:c>
      <x:c r="G15" s="506" t="str">
        <x:v>emp15</x:v>
      </x:c>
      <x:c r="H15" s="506" t="str">
        <x:v>BHR15</x:v>
      </x:c>
      <x:c r="I15" s="506" t="str">
        <x:v>MAC15</x:v>
      </x:c>
      <x:c r="J15" s="506" t="str">
        <x:v>XY15</x:v>
      </x:c>
      <x:c r="K15" s="506" t="str">
        <x:v>No</x:v>
      </x:c>
      <x:c r="L15" s="506" t="str">
        <x:v>No</x:v>
      </x:c>
      <x:c r="M15" s="506" t="str">
        <x:v>Clean</x:v>
      </x:c>
      <x:c r="N15" s="506" t="str">
        <x:v>Active Directory</x:v>
      </x:c>
      <x:c r="O15" s="506" t="str">
        <x:v>Confirmed</x:v>
      </x:c>
      <x:c r="P15" s="506" t="str">
        <x:v>Validated</x:v>
      </x:c>
      <x:c r="Q15" s="506" t="str">
        <x:f>IF(OR(COUNTIF($A$2:$A$201,A15)&gt;1,COUNTIF($G$2:$G$201,G15)&gt;1,AND(F15&lt;&gt;"",COUNTIF($F$2:$F$201,F15)&gt;1),COUNTIF($H$2:$H$201,H15)&gt;1,COUNTIF($I$2:$I$201,I15)&gt;1,COUNTIF($J$2:$J$201,J15)&gt;1),"Yes","No")</x:f>
        <x:v>No</x:v>
      </x:c>
      <x:c r="R15" s="506" t="str">
        <x:f>IF(F15="","Missing",IF(AND(ISNUMBER(SEARCH("@",F15)),ISNUMBER(SEARCH(".",F15))),"Valid","Invalid"))</x:f>
        <x:v>Valid</x:v>
      </x:c>
      <x:c r="S15" s="506" t="n">
        <x:f>IF(K15="Yes",1,0)+IF(L15="Yes",1,0)+IF(M15&lt;&gt;"Clean",1,0)+IF(O15&lt;&gt;"Confirmed",1,0)+IF(P15&lt;&gt;"Validated",1,0)+IF(Q15="Yes",1,0)+IF(R15&lt;&gt;"Valid",1,0)</x:f>
        <x:v>0</x:v>
      </x:c>
      <x:c r="T15" s="517" t="n">
        <x:f>MAX(0,1-S15/7)</x:f>
        <x:v>1</x:v>
      </x:c>
      <x:c r="U15" s="506" t="str">
        <x:f>IF(AND(K15="No",L15="No",M15="Clean",O15="Confirmed",P15="Validated",Q15="No",R15="Valid"),"Ready","Hold")</x:f>
        <x:v>Ready</x:v>
      </x:c>
      <x:c r="V15" s="507" t="str">
        <x:f>IF(U15="Ready","No action",IF(K15="Yes","Resolve duplicate and confirm surviving record",IF(L15="Yes","Populate and validate email","Complete remediation and validation")))</x:f>
        <x:v>No action</x:v>
      </x:c>
    </x:row>
    <x:row r="16">
      <x:c r="A16" s="505" t="n">
        <x:v>1016</x:v>
      </x:c>
      <x:c r="B16" s="506" t="str">
        <x:v>Emp16</x:v>
      </x:c>
      <x:c r="C16" s="506" t="str">
        <x:v>User16</x:v>
      </x:c>
      <x:c r="D16" s="506" t="str">
        <x:v>UK</x:v>
      </x:c>
      <x:c r="E16" s="506" t="str">
        <x:v>IT</x:v>
      </x:c>
      <x:c r="F16" s="506" t="str">
        <x:v>emp16@company.com</x:v>
      </x:c>
      <x:c r="G16" s="506" t="str">
        <x:v>emp16</x:v>
      </x:c>
      <x:c r="H16" s="506" t="str">
        <x:v>BHR16</x:v>
      </x:c>
      <x:c r="I16" s="506" t="str">
        <x:v>MAC16</x:v>
      </x:c>
      <x:c r="J16" s="506" t="str">
        <x:v>XY16</x:v>
      </x:c>
      <x:c r="K16" s="506" t="str">
        <x:v>No</x:v>
      </x:c>
      <x:c r="L16" s="506" t="str">
        <x:v>No</x:v>
      </x:c>
      <x:c r="M16" s="506" t="str">
        <x:v>Clean</x:v>
      </x:c>
      <x:c r="N16" s="506" t="str">
        <x:v>Maconomy</x:v>
      </x:c>
      <x:c r="O16" s="506" t="str">
        <x:v>Confirmed</x:v>
      </x:c>
      <x:c r="P16" s="506" t="str">
        <x:v>Validated</x:v>
      </x:c>
      <x:c r="Q16" s="506" t="str">
        <x:f>IF(OR(COUNTIF($A$2:$A$201,A16)&gt;1,COUNTIF($G$2:$G$201,G16)&gt;1,AND(F16&lt;&gt;"",COUNTIF($F$2:$F$201,F16)&gt;1),COUNTIF($H$2:$H$201,H16)&gt;1,COUNTIF($I$2:$I$201,I16)&gt;1,COUNTIF($J$2:$J$201,J16)&gt;1),"Yes","No")</x:f>
        <x:v>No</x:v>
      </x:c>
      <x:c r="R16" s="506" t="str">
        <x:f>IF(F16="","Missing",IF(AND(ISNUMBER(SEARCH("@",F16)),ISNUMBER(SEARCH(".",F16))),"Valid","Invalid"))</x:f>
        <x:v>Valid</x:v>
      </x:c>
      <x:c r="S16" s="506" t="n">
        <x:f>IF(K16="Yes",1,0)+IF(L16="Yes",1,0)+IF(M16&lt;&gt;"Clean",1,0)+IF(O16&lt;&gt;"Confirmed",1,0)+IF(P16&lt;&gt;"Validated",1,0)+IF(Q16="Yes",1,0)+IF(R16&lt;&gt;"Valid",1,0)</x:f>
        <x:v>0</x:v>
      </x:c>
      <x:c r="T16" s="517" t="n">
        <x:f>MAX(0,1-S16/7)</x:f>
        <x:v>1</x:v>
      </x:c>
      <x:c r="U16" s="506" t="str">
        <x:f>IF(AND(K16="No",L16="No",M16="Clean",O16="Confirmed",P16="Validated",Q16="No",R16="Valid"),"Ready","Hold")</x:f>
        <x:v>Ready</x:v>
      </x:c>
      <x:c r="V16" s="507" t="str">
        <x:f>IF(U16="Ready","No action",IF(K16="Yes","Resolve duplicate and confirm surviving record",IF(L16="Yes","Populate and validate email","Complete remediation and validation")))</x:f>
        <x:v>No action</x:v>
      </x:c>
    </x:row>
    <x:row r="17">
      <x:c r="A17" s="505" t="n">
        <x:v>1017</x:v>
      </x:c>
      <x:c r="B17" s="506" t="str">
        <x:v>Emp17</x:v>
      </x:c>
      <x:c r="C17" s="506" t="str">
        <x:v>User17</x:v>
      </x:c>
      <x:c r="D17" s="506" t="str">
        <x:v>USA</x:v>
      </x:c>
      <x:c r="E17" s="506" t="str">
        <x:v>Operations</x:v>
      </x:c>
      <x:c r="F17" s="506" t="str">
        <x:v>emp17@company.com</x:v>
      </x:c>
      <x:c r="G17" s="506" t="str">
        <x:v>emp17</x:v>
      </x:c>
      <x:c r="H17" s="506" t="str">
        <x:v>BHR17</x:v>
      </x:c>
      <x:c r="I17" s="506" t="str">
        <x:v>MAC17</x:v>
      </x:c>
      <x:c r="J17" s="506" t="str">
        <x:v>XY17</x:v>
      </x:c>
      <x:c r="K17" s="506" t="str">
        <x:v>No</x:v>
      </x:c>
      <x:c r="L17" s="506" t="str">
        <x:v>No</x:v>
      </x:c>
      <x:c r="M17" s="506" t="str">
        <x:v>Clean</x:v>
      </x:c>
      <x:c r="N17" s="506" t="str">
        <x:v>Xytech</x:v>
      </x:c>
      <x:c r="O17" s="506" t="str">
        <x:v>Confirmed</x:v>
      </x:c>
      <x:c r="P17" s="506" t="str">
        <x:v>Validated</x:v>
      </x:c>
      <x:c r="Q17" s="506" t="str">
        <x:f>IF(OR(COUNTIF($A$2:$A$201,A17)&gt;1,COUNTIF($G$2:$G$201,G17)&gt;1,AND(F17&lt;&gt;"",COUNTIF($F$2:$F$201,F17)&gt;1),COUNTIF($H$2:$H$201,H17)&gt;1,COUNTIF($I$2:$I$201,I17)&gt;1,COUNTIF($J$2:$J$201,J17)&gt;1),"Yes","No")</x:f>
        <x:v>No</x:v>
      </x:c>
      <x:c r="R17" s="506" t="str">
        <x:f>IF(F17="","Missing",IF(AND(ISNUMBER(SEARCH("@",F17)),ISNUMBER(SEARCH(".",F17))),"Valid","Invalid"))</x:f>
        <x:v>Valid</x:v>
      </x:c>
      <x:c r="S17" s="506" t="n">
        <x:f>IF(K17="Yes",1,0)+IF(L17="Yes",1,0)+IF(M17&lt;&gt;"Clean",1,0)+IF(O17&lt;&gt;"Confirmed",1,0)+IF(P17&lt;&gt;"Validated",1,0)+IF(Q17="Yes",1,0)+IF(R17&lt;&gt;"Valid",1,0)</x:f>
        <x:v>0</x:v>
      </x:c>
      <x:c r="T17" s="517" t="n">
        <x:f>MAX(0,1-S17/7)</x:f>
        <x:v>1</x:v>
      </x:c>
      <x:c r="U17" s="506" t="str">
        <x:f>IF(AND(K17="No",L17="No",M17="Clean",O17="Confirmed",P17="Validated",Q17="No",R17="Valid"),"Ready","Hold")</x:f>
        <x:v>Ready</x:v>
      </x:c>
      <x:c r="V17" s="507" t="str">
        <x:f>IF(U17="Ready","No action",IF(K17="Yes","Resolve duplicate and confirm surviving record",IF(L17="Yes","Populate and validate email","Complete remediation and validation")))</x:f>
        <x:v>No action</x:v>
      </x:c>
    </x:row>
    <x:row r="18">
      <x:c r="A18" s="505" t="n">
        <x:v>1018</x:v>
      </x:c>
      <x:c r="B18" s="506" t="str">
        <x:v>Emp18</x:v>
      </x:c>
      <x:c r="C18" s="506" t="str">
        <x:v>User18</x:v>
      </x:c>
      <x:c r="D18" s="506" t="str">
        <x:v>Canada</x:v>
      </x:c>
      <x:c r="E18" s="506" t="str">
        <x:v>Sales</x:v>
      </x:c>
      <x:c r="F18" s="506" t="str">
        <x:v>emp18@company.com</x:v>
      </x:c>
      <x:c r="G18" s="506" t="str">
        <x:v>emp18</x:v>
      </x:c>
      <x:c r="H18" s="506" t="str">
        <x:v>BHR18</x:v>
      </x:c>
      <x:c r="I18" s="506" t="str">
        <x:v>MAC18</x:v>
      </x:c>
      <x:c r="J18" s="506" t="str">
        <x:v>XY18</x:v>
      </x:c>
      <x:c r="K18" s="506" t="str">
        <x:v>No</x:v>
      </x:c>
      <x:c r="L18" s="506" t="str">
        <x:v>No</x:v>
      </x:c>
      <x:c r="M18" s="506" t="str">
        <x:v>Clean</x:v>
      </x:c>
      <x:c r="N18" s="506" t="str">
        <x:v>BambooHR</x:v>
      </x:c>
      <x:c r="O18" s="506" t="str">
        <x:v>Confirmed</x:v>
      </x:c>
      <x:c r="P18" s="506" t="str">
        <x:v>Validated</x:v>
      </x:c>
      <x:c r="Q18" s="506" t="str">
        <x:f>IF(OR(COUNTIF($A$2:$A$201,A18)&gt;1,COUNTIF($G$2:$G$201,G18)&gt;1,AND(F18&lt;&gt;"",COUNTIF($F$2:$F$201,F18)&gt;1),COUNTIF($H$2:$H$201,H18)&gt;1,COUNTIF($I$2:$I$201,I18)&gt;1,COUNTIF($J$2:$J$201,J18)&gt;1),"Yes","No")</x:f>
        <x:v>No</x:v>
      </x:c>
      <x:c r="R18" s="506" t="str">
        <x:f>IF(F18="","Missing",IF(AND(ISNUMBER(SEARCH("@",F18)),ISNUMBER(SEARCH(".",F18))),"Valid","Invalid"))</x:f>
        <x:v>Valid</x:v>
      </x:c>
      <x:c r="S18" s="506" t="n">
        <x:f>IF(K18="Yes",1,0)+IF(L18="Yes",1,0)+IF(M18&lt;&gt;"Clean",1,0)+IF(O18&lt;&gt;"Confirmed",1,0)+IF(P18&lt;&gt;"Validated",1,0)+IF(Q18="Yes",1,0)+IF(R18&lt;&gt;"Valid",1,0)</x:f>
        <x:v>0</x:v>
      </x:c>
      <x:c r="T18" s="517" t="n">
        <x:f>MAX(0,1-S18/7)</x:f>
        <x:v>1</x:v>
      </x:c>
      <x:c r="U18" s="506" t="str">
        <x:f>IF(AND(K18="No",L18="No",M18="Clean",O18="Confirmed",P18="Validated",Q18="No",R18="Valid"),"Ready","Hold")</x:f>
        <x:v>Ready</x:v>
      </x:c>
      <x:c r="V18" s="507" t="str">
        <x:f>IF(U18="Ready","No action",IF(K18="Yes","Resolve duplicate and confirm surviving record",IF(L18="Yes","Populate and validate email","Complete remediation and validation")))</x:f>
        <x:v>No action</x:v>
      </x:c>
    </x:row>
    <x:row r="19">
      <x:c r="A19" s="505" t="n">
        <x:v>1019</x:v>
      </x:c>
      <x:c r="B19" s="506" t="str">
        <x:v>Emp19</x:v>
      </x:c>
      <x:c r="C19" s="506" t="str">
        <x:v>User19</x:v>
      </x:c>
      <x:c r="D19" s="506" t="str">
        <x:v>Germany</x:v>
      </x:c>
      <x:c r="E19" s="506" t="str">
        <x:v>Marketing</x:v>
      </x:c>
      <x:c r="F19" s="506" t="str">
        <x:v>emp19@company.com</x:v>
      </x:c>
      <x:c r="G19" s="506" t="str">
        <x:v>emp19</x:v>
      </x:c>
      <x:c r="H19" s="506" t="str">
        <x:v>BHR19</x:v>
      </x:c>
      <x:c r="I19" s="506" t="str">
        <x:v>MAC19</x:v>
      </x:c>
      <x:c r="J19" s="506" t="str">
        <x:v>XY19</x:v>
      </x:c>
      <x:c r="K19" s="506" t="str">
        <x:v>No</x:v>
      </x:c>
      <x:c r="L19" s="506" t="str">
        <x:v>No</x:v>
      </x:c>
      <x:c r="M19" s="506" t="str">
        <x:v>Clean</x:v>
      </x:c>
      <x:c r="N19" s="506" t="str">
        <x:v>Active Directory</x:v>
      </x:c>
      <x:c r="O19" s="506" t="str">
        <x:v>Confirmed</x:v>
      </x:c>
      <x:c r="P19" s="506" t="str">
        <x:v>Validated</x:v>
      </x:c>
      <x:c r="Q19" s="506" t="str">
        <x:f>IF(OR(COUNTIF($A$2:$A$201,A19)&gt;1,COUNTIF($G$2:$G$201,G19)&gt;1,AND(F19&lt;&gt;"",COUNTIF($F$2:$F$201,F19)&gt;1),COUNTIF($H$2:$H$201,H19)&gt;1,COUNTIF($I$2:$I$201,I19)&gt;1,COUNTIF($J$2:$J$201,J19)&gt;1),"Yes","No")</x:f>
        <x:v>No</x:v>
      </x:c>
      <x:c r="R19" s="506" t="str">
        <x:f>IF(F19="","Missing",IF(AND(ISNUMBER(SEARCH("@",F19)),ISNUMBER(SEARCH(".",F19))),"Valid","Invalid"))</x:f>
        <x:v>Valid</x:v>
      </x:c>
      <x:c r="S19" s="506" t="n">
        <x:f>IF(K19="Yes",1,0)+IF(L19="Yes",1,0)+IF(M19&lt;&gt;"Clean",1,0)+IF(O19&lt;&gt;"Confirmed",1,0)+IF(P19&lt;&gt;"Validated",1,0)+IF(Q19="Yes",1,0)+IF(R19&lt;&gt;"Valid",1,0)</x:f>
        <x:v>0</x:v>
      </x:c>
      <x:c r="T19" s="517" t="n">
        <x:f>MAX(0,1-S19/7)</x:f>
        <x:v>1</x:v>
      </x:c>
      <x:c r="U19" s="506" t="str">
        <x:f>IF(AND(K19="No",L19="No",M19="Clean",O19="Confirmed",P19="Validated",Q19="No",R19="Valid"),"Ready","Hold")</x:f>
        <x:v>Ready</x:v>
      </x:c>
      <x:c r="V19" s="507" t="str">
        <x:f>IF(U19="Ready","No action",IF(K19="Yes","Resolve duplicate and confirm surviving record",IF(L19="Yes","Populate and validate email","Complete remediation and validation")))</x:f>
        <x:v>No action</x:v>
      </x:c>
    </x:row>
    <x:row r="20">
      <x:c r="A20" s="505" t="n">
        <x:v>1020</x:v>
      </x:c>
      <x:c r="B20" s="506" t="str">
        <x:v>Emp20</x:v>
      </x:c>
      <x:c r="C20" s="506" t="str">
        <x:v>User20</x:v>
      </x:c>
      <x:c r="D20" s="506" t="str">
        <x:v>India</x:v>
      </x:c>
      <x:c r="E20" s="506" t="str">
        <x:v>HR</x:v>
      </x:c>
      <x:c r="F20" s="506" t="str">
        <x:v>emp20@company.com</x:v>
      </x:c>
      <x:c r="G20" s="506" t="str">
        <x:v>emp20</x:v>
      </x:c>
      <x:c r="H20" s="506" t="str">
        <x:v>BHR20</x:v>
      </x:c>
      <x:c r="I20" s="506" t="str">
        <x:v>MAC20</x:v>
      </x:c>
      <x:c r="J20" s="506" t="str">
        <x:v>XY20</x:v>
      </x:c>
      <x:c r="K20" s="506" t="str">
        <x:v>No</x:v>
      </x:c>
      <x:c r="L20" s="506" t="str">
        <x:v>No</x:v>
      </x:c>
      <x:c r="M20" s="506" t="str">
        <x:v>Clean</x:v>
      </x:c>
      <x:c r="N20" s="506" t="str">
        <x:v>Maconomy</x:v>
      </x:c>
      <x:c r="O20" s="506" t="str">
        <x:v>Confirmed</x:v>
      </x:c>
      <x:c r="P20" s="506" t="str">
        <x:v>Validated</x:v>
      </x:c>
      <x:c r="Q20" s="506" t="str">
        <x:f>IF(OR(COUNTIF($A$2:$A$201,A20)&gt;1,COUNTIF($G$2:$G$201,G20)&gt;1,AND(F20&lt;&gt;"",COUNTIF($F$2:$F$201,F20)&gt;1),COUNTIF($H$2:$H$201,H20)&gt;1,COUNTIF($I$2:$I$201,I20)&gt;1,COUNTIF($J$2:$J$201,J20)&gt;1),"Yes","No")</x:f>
        <x:v>No</x:v>
      </x:c>
      <x:c r="R20" s="506" t="str">
        <x:f>IF(F20="","Missing",IF(AND(ISNUMBER(SEARCH("@",F20)),ISNUMBER(SEARCH(".",F20))),"Valid","Invalid"))</x:f>
        <x:v>Valid</x:v>
      </x:c>
      <x:c r="S20" s="506" t="n">
        <x:f>IF(K20="Yes",1,0)+IF(L20="Yes",1,0)+IF(M20&lt;&gt;"Clean",1,0)+IF(O20&lt;&gt;"Confirmed",1,0)+IF(P20&lt;&gt;"Validated",1,0)+IF(Q20="Yes",1,0)+IF(R20&lt;&gt;"Valid",1,0)</x:f>
        <x:v>0</x:v>
      </x:c>
      <x:c r="T20" s="517" t="n">
        <x:f>MAX(0,1-S20/7)</x:f>
        <x:v>1</x:v>
      </x:c>
      <x:c r="U20" s="506" t="str">
        <x:f>IF(AND(K20="No",L20="No",M20="Clean",O20="Confirmed",P20="Validated",Q20="No",R20="Valid"),"Ready","Hold")</x:f>
        <x:v>Ready</x:v>
      </x:c>
      <x:c r="V20" s="507" t="str">
        <x:f>IF(U20="Ready","No action",IF(K20="Yes","Resolve duplicate and confirm surviving record",IF(L20="Yes","Populate and validate email","Complete remediation and validation")))</x:f>
        <x:v>No action</x:v>
      </x:c>
    </x:row>
    <x:row r="21">
      <x:c r="A21" s="505" t="n">
        <x:v>1021</x:v>
      </x:c>
      <x:c r="B21" s="506" t="str">
        <x:v>Emp21</x:v>
      </x:c>
      <x:c r="C21" s="506" t="str">
        <x:v>User21</x:v>
      </x:c>
      <x:c r="D21" s="506" t="str">
        <x:v>Australia</x:v>
      </x:c>
      <x:c r="E21" s="506" t="str">
        <x:v>Finance</x:v>
      </x:c>
      <x:c r="F21" s="506" t="str">
        <x:v>emp21@company.com</x:v>
      </x:c>
      <x:c r="G21" s="506" t="str">
        <x:v>emp21</x:v>
      </x:c>
      <x:c r="H21" s="506" t="str">
        <x:v>BHR21</x:v>
      </x:c>
      <x:c r="I21" s="506" t="str">
        <x:v>MAC21</x:v>
      </x:c>
      <x:c r="J21" s="506" t="str">
        <x:v>XY21</x:v>
      </x:c>
      <x:c r="K21" s="506" t="str">
        <x:v>No</x:v>
      </x:c>
      <x:c r="L21" s="506" t="str">
        <x:v>No</x:v>
      </x:c>
      <x:c r="M21" s="506" t="str">
        <x:v>Clean</x:v>
      </x:c>
      <x:c r="N21" s="506" t="str">
        <x:v>Xytech</x:v>
      </x:c>
      <x:c r="O21" s="506" t="str">
        <x:v>Confirmed</x:v>
      </x:c>
      <x:c r="P21" s="506" t="str">
        <x:v>Validated</x:v>
      </x:c>
      <x:c r="Q21" s="506" t="str">
        <x:f>IF(OR(COUNTIF($A$2:$A$201,A21)&gt;1,COUNTIF($G$2:$G$201,G21)&gt;1,AND(F21&lt;&gt;"",COUNTIF($F$2:$F$201,F21)&gt;1),COUNTIF($H$2:$H$201,H21)&gt;1,COUNTIF($I$2:$I$201,I21)&gt;1,COUNTIF($J$2:$J$201,J21)&gt;1),"Yes","No")</x:f>
        <x:v>No</x:v>
      </x:c>
      <x:c r="R21" s="506" t="str">
        <x:f>IF(F21="","Missing",IF(AND(ISNUMBER(SEARCH("@",F21)),ISNUMBER(SEARCH(".",F21))),"Valid","Invalid"))</x:f>
        <x:v>Valid</x:v>
      </x:c>
      <x:c r="S21" s="506" t="n">
        <x:f>IF(K21="Yes",1,0)+IF(L21="Yes",1,0)+IF(M21&lt;&gt;"Clean",1,0)+IF(O21&lt;&gt;"Confirmed",1,0)+IF(P21&lt;&gt;"Validated",1,0)+IF(Q21="Yes",1,0)+IF(R21&lt;&gt;"Valid",1,0)</x:f>
        <x:v>0</x:v>
      </x:c>
      <x:c r="T21" s="517" t="n">
        <x:f>MAX(0,1-S21/7)</x:f>
        <x:v>1</x:v>
      </x:c>
      <x:c r="U21" s="506" t="str">
        <x:f>IF(AND(K21="No",L21="No",M21="Clean",O21="Confirmed",P21="Validated",Q21="No",R21="Valid"),"Ready","Hold")</x:f>
        <x:v>Ready</x:v>
      </x:c>
      <x:c r="V21" s="507" t="str">
        <x:f>IF(U21="Ready","No action",IF(K21="Yes","Resolve duplicate and confirm surviving record",IF(L21="Yes","Populate and validate email","Complete remediation and validation")))</x:f>
        <x:v>No action</x:v>
      </x:c>
    </x:row>
    <x:row r="22">
      <x:c r="A22" s="505" t="n">
        <x:v>1022</x:v>
      </x:c>
      <x:c r="B22" s="506" t="str">
        <x:v>Emp22</x:v>
      </x:c>
      <x:c r="C22" s="506" t="str">
        <x:v>User22</x:v>
      </x:c>
      <x:c r="D22" s="506" t="str">
        <x:v>UAE</x:v>
      </x:c>
      <x:c r="E22" s="506" t="str">
        <x:v>IT</x:v>
      </x:c>
      <x:c r="F22" s="506" t="str">
        <x:v>emp22@company.com</x:v>
      </x:c>
      <x:c r="G22" s="506" t="str">
        <x:v>emp22</x:v>
      </x:c>
      <x:c r="H22" s="506" t="str">
        <x:v>BHR22</x:v>
      </x:c>
      <x:c r="I22" s="506" t="str">
        <x:v>MAC22</x:v>
      </x:c>
      <x:c r="J22" s="506" t="str">
        <x:v>XY22</x:v>
      </x:c>
      <x:c r="K22" s="506" t="str">
        <x:v>No</x:v>
      </x:c>
      <x:c r="L22" s="506" t="str">
        <x:v>No</x:v>
      </x:c>
      <x:c r="M22" s="506" t="str">
        <x:v>Clean</x:v>
      </x:c>
      <x:c r="N22" s="506" t="str">
        <x:v>BambooHR</x:v>
      </x:c>
      <x:c r="O22" s="506" t="str">
        <x:v>Confirmed</x:v>
      </x:c>
      <x:c r="P22" s="506" t="str">
        <x:v>Validated</x:v>
      </x:c>
      <x:c r="Q22" s="506" t="str">
        <x:f>IF(OR(COUNTIF($A$2:$A$201,A22)&gt;1,COUNTIF($G$2:$G$201,G22)&gt;1,AND(F22&lt;&gt;"",COUNTIF($F$2:$F$201,F22)&gt;1),COUNTIF($H$2:$H$201,H22)&gt;1,COUNTIF($I$2:$I$201,I22)&gt;1,COUNTIF($J$2:$J$201,J22)&gt;1),"Yes","No")</x:f>
        <x:v>No</x:v>
      </x:c>
      <x:c r="R22" s="506" t="str">
        <x:f>IF(F22="","Missing",IF(AND(ISNUMBER(SEARCH("@",F22)),ISNUMBER(SEARCH(".",F22))),"Valid","Invalid"))</x:f>
        <x:v>Valid</x:v>
      </x:c>
      <x:c r="S22" s="506" t="n">
        <x:f>IF(K22="Yes",1,0)+IF(L22="Yes",1,0)+IF(M22&lt;&gt;"Clean",1,0)+IF(O22&lt;&gt;"Confirmed",1,0)+IF(P22&lt;&gt;"Validated",1,0)+IF(Q22="Yes",1,0)+IF(R22&lt;&gt;"Valid",1,0)</x:f>
        <x:v>0</x:v>
      </x:c>
      <x:c r="T22" s="517" t="n">
        <x:f>MAX(0,1-S22/7)</x:f>
        <x:v>1</x:v>
      </x:c>
      <x:c r="U22" s="506" t="str">
        <x:f>IF(AND(K22="No",L22="No",M22="Clean",O22="Confirmed",P22="Validated",Q22="No",R22="Valid"),"Ready","Hold")</x:f>
        <x:v>Ready</x:v>
      </x:c>
      <x:c r="V22" s="507" t="str">
        <x:f>IF(U22="Ready","No action",IF(K22="Yes","Resolve duplicate and confirm surviving record",IF(L22="Yes","Populate and validate email","Complete remediation and validation")))</x:f>
        <x:v>No action</x:v>
      </x:c>
    </x:row>
    <x:row r="23">
      <x:c r="A23" s="505" t="n">
        <x:v>1023</x:v>
      </x:c>
      <x:c r="B23" s="506" t="str">
        <x:v>Emp23</x:v>
      </x:c>
      <x:c r="C23" s="506" t="str">
        <x:v>User23</x:v>
      </x:c>
      <x:c r="D23" s="506" t="str">
        <x:v>France</x:v>
      </x:c>
      <x:c r="E23" s="506" t="str">
        <x:v>Operations</x:v>
      </x:c>
      <x:c r="F23" s="506" t="str">
        <x:v>emp23@company.com</x:v>
      </x:c>
      <x:c r="G23" s="506" t="str">
        <x:v>emp23</x:v>
      </x:c>
      <x:c r="H23" s="506" t="str">
        <x:v>BHR23</x:v>
      </x:c>
      <x:c r="I23" s="506" t="str">
        <x:v>MAC23</x:v>
      </x:c>
      <x:c r="J23" s="506" t="str">
        <x:v>XY23</x:v>
      </x:c>
      <x:c r="K23" s="506" t="str">
        <x:v>No</x:v>
      </x:c>
      <x:c r="L23" s="506" t="str">
        <x:v>No</x:v>
      </x:c>
      <x:c r="M23" s="506" t="str">
        <x:v>Clean</x:v>
      </x:c>
      <x:c r="N23" s="506" t="str">
        <x:v>Active Directory</x:v>
      </x:c>
      <x:c r="O23" s="506" t="str">
        <x:v>Confirmed</x:v>
      </x:c>
      <x:c r="P23" s="506" t="str">
        <x:v>Validated</x:v>
      </x:c>
      <x:c r="Q23" s="506" t="str">
        <x:f>IF(OR(COUNTIF($A$2:$A$201,A23)&gt;1,COUNTIF($G$2:$G$201,G23)&gt;1,AND(F23&lt;&gt;"",COUNTIF($F$2:$F$201,F23)&gt;1),COUNTIF($H$2:$H$201,H23)&gt;1,COUNTIF($I$2:$I$201,I23)&gt;1,COUNTIF($J$2:$J$201,J23)&gt;1),"Yes","No")</x:f>
        <x:v>No</x:v>
      </x:c>
      <x:c r="R23" s="506" t="str">
        <x:f>IF(F23="","Missing",IF(AND(ISNUMBER(SEARCH("@",F23)),ISNUMBER(SEARCH(".",F23))),"Valid","Invalid"))</x:f>
        <x:v>Valid</x:v>
      </x:c>
      <x:c r="S23" s="506" t="n">
        <x:f>IF(K23="Yes",1,0)+IF(L23="Yes",1,0)+IF(M23&lt;&gt;"Clean",1,0)+IF(O23&lt;&gt;"Confirmed",1,0)+IF(P23&lt;&gt;"Validated",1,0)+IF(Q23="Yes",1,0)+IF(R23&lt;&gt;"Valid",1,0)</x:f>
        <x:v>0</x:v>
      </x:c>
      <x:c r="T23" s="517" t="n">
        <x:f>MAX(0,1-S23/7)</x:f>
        <x:v>1</x:v>
      </x:c>
      <x:c r="U23" s="506" t="str">
        <x:f>IF(AND(K23="No",L23="No",M23="Clean",O23="Confirmed",P23="Validated",Q23="No",R23="Valid"),"Ready","Hold")</x:f>
        <x:v>Ready</x:v>
      </x:c>
      <x:c r="V23" s="507" t="str">
        <x:f>IF(U23="Ready","No action",IF(K23="Yes","Resolve duplicate and confirm surviving record",IF(L23="Yes","Populate and validate email","Complete remediation and validation")))</x:f>
        <x:v>No action</x:v>
      </x:c>
    </x:row>
    <x:row r="24">
      <x:c r="A24" s="505" t="n">
        <x:v>1024</x:v>
      </x:c>
      <x:c r="B24" s="506" t="str">
        <x:v>Emp24</x:v>
      </x:c>
      <x:c r="C24" s="506" t="str">
        <x:v>User24</x:v>
      </x:c>
      <x:c r="D24" s="506" t="str">
        <x:v>Nigeria</x:v>
      </x:c>
      <x:c r="E24" s="506" t="str">
        <x:v>Sales</x:v>
      </x:c>
      <x:c r="F24" s="506" t="str">
        <x:v>emp24@company.com</x:v>
      </x:c>
      <x:c r="G24" s="506" t="str">
        <x:v>emp24</x:v>
      </x:c>
      <x:c r="H24" s="506" t="str">
        <x:v>BHR24</x:v>
      </x:c>
      <x:c r="I24" s="506" t="str">
        <x:v>MAC24</x:v>
      </x:c>
      <x:c r="J24" s="506" t="str">
        <x:v>XY24</x:v>
      </x:c>
      <x:c r="K24" s="506" t="str">
        <x:v>No</x:v>
      </x:c>
      <x:c r="L24" s="506" t="str">
        <x:v>No</x:v>
      </x:c>
      <x:c r="M24" s="506" t="str">
        <x:v>Clean</x:v>
      </x:c>
      <x:c r="N24" s="506" t="str">
        <x:v>Maconomy</x:v>
      </x:c>
      <x:c r="O24" s="506" t="str">
        <x:v>Confirmed</x:v>
      </x:c>
      <x:c r="P24" s="506" t="str">
        <x:v>Validated</x:v>
      </x:c>
      <x:c r="Q24" s="506" t="str">
        <x:f>IF(OR(COUNTIF($A$2:$A$201,A24)&gt;1,COUNTIF($G$2:$G$201,G24)&gt;1,AND(F24&lt;&gt;"",COUNTIF($F$2:$F$201,F24)&gt;1),COUNTIF($H$2:$H$201,H24)&gt;1,COUNTIF($I$2:$I$201,I24)&gt;1,COUNTIF($J$2:$J$201,J24)&gt;1),"Yes","No")</x:f>
        <x:v>No</x:v>
      </x:c>
      <x:c r="R24" s="506" t="str">
        <x:f>IF(F24="","Missing",IF(AND(ISNUMBER(SEARCH("@",F24)),ISNUMBER(SEARCH(".",F24))),"Valid","Invalid"))</x:f>
        <x:v>Valid</x:v>
      </x:c>
      <x:c r="S24" s="506" t="n">
        <x:f>IF(K24="Yes",1,0)+IF(L24="Yes",1,0)+IF(M24&lt;&gt;"Clean",1,0)+IF(O24&lt;&gt;"Confirmed",1,0)+IF(P24&lt;&gt;"Validated",1,0)+IF(Q24="Yes",1,0)+IF(R24&lt;&gt;"Valid",1,0)</x:f>
        <x:v>0</x:v>
      </x:c>
      <x:c r="T24" s="517" t="n">
        <x:f>MAX(0,1-S24/7)</x:f>
        <x:v>1</x:v>
      </x:c>
      <x:c r="U24" s="506" t="str">
        <x:f>IF(AND(K24="No",L24="No",M24="Clean",O24="Confirmed",P24="Validated",Q24="No",R24="Valid"),"Ready","Hold")</x:f>
        <x:v>Ready</x:v>
      </x:c>
      <x:c r="V24" s="507" t="str">
        <x:f>IF(U24="Ready","No action",IF(K24="Yes","Resolve duplicate and confirm surviving record",IF(L24="Yes","Populate and validate email","Complete remediation and validation")))</x:f>
        <x:v>No action</x:v>
      </x:c>
    </x:row>
    <x:row r="25">
      <x:c r="A25" s="505" t="n">
        <x:v>1025</x:v>
      </x:c>
      <x:c r="B25" s="506" t="str">
        <x:v>Emp25</x:v>
      </x:c>
      <x:c r="C25" s="506" t="str">
        <x:v>User25</x:v>
      </x:c>
      <x:c r="D25" s="506" t="str">
        <x:v>Gambia</x:v>
      </x:c>
      <x:c r="E25" s="506" t="str">
        <x:v>Marketing</x:v>
      </x:c>
      <x:c r="F25" s="506" t="str">
        <x:v>emp25@company.com</x:v>
      </x:c>
      <x:c r="G25" s="506" t="str">
        <x:v>emp25</x:v>
      </x:c>
      <x:c r="H25" s="506" t="str">
        <x:v>BHR25</x:v>
      </x:c>
      <x:c r="I25" s="506" t="str">
        <x:v>MAC25</x:v>
      </x:c>
      <x:c r="J25" s="506" t="str">
        <x:v>XY25</x:v>
      </x:c>
      <x:c r="K25" s="506" t="str">
        <x:v>No</x:v>
      </x:c>
      <x:c r="L25" s="506" t="str">
        <x:v>No</x:v>
      </x:c>
      <x:c r="M25" s="506" t="str">
        <x:v>Clean</x:v>
      </x:c>
      <x:c r="N25" s="506" t="str">
        <x:v>Xytech</x:v>
      </x:c>
      <x:c r="O25" s="506" t="str">
        <x:v>Confirmed</x:v>
      </x:c>
      <x:c r="P25" s="506" t="str">
        <x:v>Validated</x:v>
      </x:c>
      <x:c r="Q25" s="506" t="str">
        <x:f>IF(OR(COUNTIF($A$2:$A$201,A25)&gt;1,COUNTIF($G$2:$G$201,G25)&gt;1,AND(F25&lt;&gt;"",COUNTIF($F$2:$F$201,F25)&gt;1),COUNTIF($H$2:$H$201,H25)&gt;1,COUNTIF($I$2:$I$201,I25)&gt;1,COUNTIF($J$2:$J$201,J25)&gt;1),"Yes","No")</x:f>
        <x:v>No</x:v>
      </x:c>
      <x:c r="R25" s="506" t="str">
        <x:f>IF(F25="","Missing",IF(AND(ISNUMBER(SEARCH("@",F25)),ISNUMBER(SEARCH(".",F25))),"Valid","Invalid"))</x:f>
        <x:v>Valid</x:v>
      </x:c>
      <x:c r="S25" s="506" t="n">
        <x:f>IF(K25="Yes",1,0)+IF(L25="Yes",1,0)+IF(M25&lt;&gt;"Clean",1,0)+IF(O25&lt;&gt;"Confirmed",1,0)+IF(P25&lt;&gt;"Validated",1,0)+IF(Q25="Yes",1,0)+IF(R25&lt;&gt;"Valid",1,0)</x:f>
        <x:v>0</x:v>
      </x:c>
      <x:c r="T25" s="517" t="n">
        <x:f>MAX(0,1-S25/7)</x:f>
        <x:v>1</x:v>
      </x:c>
      <x:c r="U25" s="506" t="str">
        <x:f>IF(AND(K25="No",L25="No",M25="Clean",O25="Confirmed",P25="Validated",Q25="No",R25="Valid"),"Ready","Hold")</x:f>
        <x:v>Ready</x:v>
      </x:c>
      <x:c r="V25" s="507" t="str">
        <x:f>IF(U25="Ready","No action",IF(K25="Yes","Resolve duplicate and confirm surviving record",IF(L25="Yes","Populate and validate email","Complete remediation and validation")))</x:f>
        <x:v>No action</x:v>
      </x:c>
    </x:row>
    <x:row r="26">
      <x:c r="A26" s="505" t="n">
        <x:v>1026</x:v>
      </x:c>
      <x:c r="B26" s="506" t="str">
        <x:v>Emp26</x:v>
      </x:c>
      <x:c r="C26" s="506" t="str">
        <x:v>User26</x:v>
      </x:c>
      <x:c r="D26" s="506" t="str">
        <x:v>Spain</x:v>
      </x:c>
      <x:c r="E26" s="506" t="str">
        <x:v>HR</x:v>
      </x:c>
      <x:c r="F26" s="506" t="str">
        <x:v>emp26@company.com</x:v>
      </x:c>
      <x:c r="G26" s="506" t="str">
        <x:v>emp26</x:v>
      </x:c>
      <x:c r="H26" s="506" t="str">
        <x:v>BHR26</x:v>
      </x:c>
      <x:c r="I26" s="506" t="str">
        <x:v>MAC26</x:v>
      </x:c>
      <x:c r="J26" s="506" t="str">
        <x:v>XY26</x:v>
      </x:c>
      <x:c r="K26" s="506" t="str">
        <x:v>No</x:v>
      </x:c>
      <x:c r="L26" s="506" t="str">
        <x:v>No</x:v>
      </x:c>
      <x:c r="M26" s="506" t="str">
        <x:v>Clean</x:v>
      </x:c>
      <x:c r="N26" s="506" t="str">
        <x:v>BambooHR</x:v>
      </x:c>
      <x:c r="O26" s="506" t="str">
        <x:v>Confirmed</x:v>
      </x:c>
      <x:c r="P26" s="506" t="str">
        <x:v>Validated</x:v>
      </x:c>
      <x:c r="Q26" s="506" t="str">
        <x:f>IF(OR(COUNTIF($A$2:$A$201,A26)&gt;1,COUNTIF($G$2:$G$201,G26)&gt;1,AND(F26&lt;&gt;"",COUNTIF($F$2:$F$201,F26)&gt;1),COUNTIF($H$2:$H$201,H26)&gt;1,COUNTIF($I$2:$I$201,I26)&gt;1,COUNTIF($J$2:$J$201,J26)&gt;1),"Yes","No")</x:f>
        <x:v>No</x:v>
      </x:c>
      <x:c r="R26" s="506" t="str">
        <x:f>IF(F26="","Missing",IF(AND(ISNUMBER(SEARCH("@",F26)),ISNUMBER(SEARCH(".",F26))),"Valid","Invalid"))</x:f>
        <x:v>Valid</x:v>
      </x:c>
      <x:c r="S26" s="506" t="n">
        <x:f>IF(K26="Yes",1,0)+IF(L26="Yes",1,0)+IF(M26&lt;&gt;"Clean",1,0)+IF(O26&lt;&gt;"Confirmed",1,0)+IF(P26&lt;&gt;"Validated",1,0)+IF(Q26="Yes",1,0)+IF(R26&lt;&gt;"Valid",1,0)</x:f>
        <x:v>0</x:v>
      </x:c>
      <x:c r="T26" s="517" t="n">
        <x:f>MAX(0,1-S26/7)</x:f>
        <x:v>1</x:v>
      </x:c>
      <x:c r="U26" s="506" t="str">
        <x:f>IF(AND(K26="No",L26="No",M26="Clean",O26="Confirmed",P26="Validated",Q26="No",R26="Valid"),"Ready","Hold")</x:f>
        <x:v>Ready</x:v>
      </x:c>
      <x:c r="V26" s="507" t="str">
        <x:f>IF(U26="Ready","No action",IF(K26="Yes","Resolve duplicate and confirm surviving record",IF(L26="Yes","Populate and validate email","Complete remediation and validation")))</x:f>
        <x:v>No action</x:v>
      </x:c>
    </x:row>
    <x:row r="27">
      <x:c r="A27" s="505" t="n">
        <x:v>1027</x:v>
      </x:c>
      <x:c r="B27" s="506" t="str">
        <x:v>Emp27</x:v>
      </x:c>
      <x:c r="C27" s="506" t="str">
        <x:v>User27</x:v>
      </x:c>
      <x:c r="D27" s="506" t="str">
        <x:v>Netherlands</x:v>
      </x:c>
      <x:c r="E27" s="506" t="str">
        <x:v>Finance</x:v>
      </x:c>
      <x:c r="F27" s="506" t="str">
        <x:v>emp27@company.com</x:v>
      </x:c>
      <x:c r="G27" s="506" t="str">
        <x:v>emp27</x:v>
      </x:c>
      <x:c r="H27" s="506" t="str">
        <x:v>BHR27</x:v>
      </x:c>
      <x:c r="I27" s="506" t="str">
        <x:v>MAC27</x:v>
      </x:c>
      <x:c r="J27" s="506" t="str">
        <x:v>XY27</x:v>
      </x:c>
      <x:c r="K27" s="506" t="str">
        <x:v>No</x:v>
      </x:c>
      <x:c r="L27" s="506" t="str">
        <x:v>No</x:v>
      </x:c>
      <x:c r="M27" s="506" t="str">
        <x:v>Clean</x:v>
      </x:c>
      <x:c r="N27" s="506" t="str">
        <x:v>Active Directory</x:v>
      </x:c>
      <x:c r="O27" s="506" t="str">
        <x:v>Confirmed</x:v>
      </x:c>
      <x:c r="P27" s="506" t="str">
        <x:v>Validated</x:v>
      </x:c>
      <x:c r="Q27" s="506" t="str">
        <x:f>IF(OR(COUNTIF($A$2:$A$201,A27)&gt;1,COUNTIF($G$2:$G$201,G27)&gt;1,AND(F27&lt;&gt;"",COUNTIF($F$2:$F$201,F27)&gt;1),COUNTIF($H$2:$H$201,H27)&gt;1,COUNTIF($I$2:$I$201,I27)&gt;1,COUNTIF($J$2:$J$201,J27)&gt;1),"Yes","No")</x:f>
        <x:v>No</x:v>
      </x:c>
      <x:c r="R27" s="506" t="str">
        <x:f>IF(F27="","Missing",IF(AND(ISNUMBER(SEARCH("@",F27)),ISNUMBER(SEARCH(".",F27))),"Valid","Invalid"))</x:f>
        <x:v>Valid</x:v>
      </x:c>
      <x:c r="S27" s="506" t="n">
        <x:f>IF(K27="Yes",1,0)+IF(L27="Yes",1,0)+IF(M27&lt;&gt;"Clean",1,0)+IF(O27&lt;&gt;"Confirmed",1,0)+IF(P27&lt;&gt;"Validated",1,0)+IF(Q27="Yes",1,0)+IF(R27&lt;&gt;"Valid",1,0)</x:f>
        <x:v>0</x:v>
      </x:c>
      <x:c r="T27" s="517" t="n">
        <x:f>MAX(0,1-S27/7)</x:f>
        <x:v>1</x:v>
      </x:c>
      <x:c r="U27" s="506" t="str">
        <x:f>IF(AND(K27="No",L27="No",M27="Clean",O27="Confirmed",P27="Validated",Q27="No",R27="Valid"),"Ready","Hold")</x:f>
        <x:v>Ready</x:v>
      </x:c>
      <x:c r="V27" s="507" t="str">
        <x:f>IF(U27="Ready","No action",IF(K27="Yes","Resolve duplicate and confirm surviving record",IF(L27="Yes","Populate and validate email","Complete remediation and validation")))</x:f>
        <x:v>No action</x:v>
      </x:c>
    </x:row>
    <x:row r="28">
      <x:c r="A28" s="505" t="n">
        <x:v>1028</x:v>
      </x:c>
      <x:c r="B28" s="506" t="str">
        <x:v>Emp28</x:v>
      </x:c>
      <x:c r="C28" s="506" t="str">
        <x:v>User28</x:v>
      </x:c>
      <x:c r="D28" s="506" t="str">
        <x:v>Singapore</x:v>
      </x:c>
      <x:c r="E28" s="506" t="str">
        <x:v>IT</x:v>
      </x:c>
      <x:c r="F28" s="506" t="str">
        <x:v>emp28@company.com</x:v>
      </x:c>
      <x:c r="G28" s="506" t="str">
        <x:v>emp28</x:v>
      </x:c>
      <x:c r="H28" s="506" t="str">
        <x:v>BHR28</x:v>
      </x:c>
      <x:c r="I28" s="506" t="str">
        <x:v>MAC28</x:v>
      </x:c>
      <x:c r="J28" s="506" t="str">
        <x:v>XY28</x:v>
      </x:c>
      <x:c r="K28" s="506" t="str">
        <x:v>No</x:v>
      </x:c>
      <x:c r="L28" s="506" t="str">
        <x:v>No</x:v>
      </x:c>
      <x:c r="M28" s="506" t="str">
        <x:v>Clean</x:v>
      </x:c>
      <x:c r="N28" s="506" t="str">
        <x:v>Maconomy</x:v>
      </x:c>
      <x:c r="O28" s="506" t="str">
        <x:v>Confirmed</x:v>
      </x:c>
      <x:c r="P28" s="506" t="str">
        <x:v>Validated</x:v>
      </x:c>
      <x:c r="Q28" s="506" t="str">
        <x:f>IF(OR(COUNTIF($A$2:$A$201,A28)&gt;1,COUNTIF($G$2:$G$201,G28)&gt;1,AND(F28&lt;&gt;"",COUNTIF($F$2:$F$201,F28)&gt;1),COUNTIF($H$2:$H$201,H28)&gt;1,COUNTIF($I$2:$I$201,I28)&gt;1,COUNTIF($J$2:$J$201,J28)&gt;1),"Yes","No")</x:f>
        <x:v>No</x:v>
      </x:c>
      <x:c r="R28" s="506" t="str">
        <x:f>IF(F28="","Missing",IF(AND(ISNUMBER(SEARCH("@",F28)),ISNUMBER(SEARCH(".",F28))),"Valid","Invalid"))</x:f>
        <x:v>Valid</x:v>
      </x:c>
      <x:c r="S28" s="506" t="n">
        <x:f>IF(K28="Yes",1,0)+IF(L28="Yes",1,0)+IF(M28&lt;&gt;"Clean",1,0)+IF(O28&lt;&gt;"Confirmed",1,0)+IF(P28&lt;&gt;"Validated",1,0)+IF(Q28="Yes",1,0)+IF(R28&lt;&gt;"Valid",1,0)</x:f>
        <x:v>0</x:v>
      </x:c>
      <x:c r="T28" s="517" t="n">
        <x:f>MAX(0,1-S28/7)</x:f>
        <x:v>1</x:v>
      </x:c>
      <x:c r="U28" s="506" t="str">
        <x:f>IF(AND(K28="No",L28="No",M28="Clean",O28="Confirmed",P28="Validated",Q28="No",R28="Valid"),"Ready","Hold")</x:f>
        <x:v>Ready</x:v>
      </x:c>
      <x:c r="V28" s="507" t="str">
        <x:f>IF(U28="Ready","No action",IF(K28="Yes","Resolve duplicate and confirm surviving record",IF(L28="Yes","Populate and validate email","Complete remediation and validation")))</x:f>
        <x:v>No action</x:v>
      </x:c>
    </x:row>
    <x:row r="29">
      <x:c r="A29" s="505" t="n">
        <x:v>1029</x:v>
      </x:c>
      <x:c r="B29" s="506" t="str">
        <x:v>Emp29</x:v>
      </x:c>
      <x:c r="C29" s="506" t="str">
        <x:v>User29</x:v>
      </x:c>
      <x:c r="D29" s="506" t="str">
        <x:v>Brazil</x:v>
      </x:c>
      <x:c r="E29" s="506" t="str">
        <x:v>Operations</x:v>
      </x:c>
      <x:c r="F29" s="506"/>
      <x:c r="G29" s="506" t="str">
        <x:v>emp29</x:v>
      </x:c>
      <x:c r="H29" s="506" t="str">
        <x:v>BHR29</x:v>
      </x:c>
      <x:c r="I29" s="506" t="str">
        <x:v>MAC29</x:v>
      </x:c>
      <x:c r="J29" s="506" t="str">
        <x:v>XY29</x:v>
      </x:c>
      <x:c r="K29" s="506" t="str">
        <x:v>No</x:v>
      </x:c>
      <x:c r="L29" s="506" t="str">
        <x:v>Yes</x:v>
      </x:c>
      <x:c r="M29" s="506" t="str">
        <x:v>Issue</x:v>
      </x:c>
      <x:c r="N29" s="506" t="str">
        <x:v>Xytech</x:v>
      </x:c>
      <x:c r="O29" s="506" t="str">
        <x:v>Pending</x:v>
      </x:c>
      <x:c r="P29" s="506" t="str">
        <x:v>Pending</x:v>
      </x:c>
      <x:c r="Q29" s="506" t="str">
        <x:f>IF(OR(COUNTIF($A$2:$A$201,A29)&gt;1,COUNTIF($G$2:$G$201,G29)&gt;1,AND(F29&lt;&gt;"",COUNTIF($F$2:$F$201,F29)&gt;1),COUNTIF($H$2:$H$201,H29)&gt;1,COUNTIF($I$2:$I$201,I29)&gt;1,COUNTIF($J$2:$J$201,J29)&gt;1),"Yes","No")</x:f>
        <x:v>No</x:v>
      </x:c>
      <x:c r="R29" s="506" t="str">
        <x:f>IF(F29="","Missing",IF(AND(ISNUMBER(SEARCH("@",F29)),ISNUMBER(SEARCH(".",F29))),"Valid","Invalid"))</x:f>
        <x:v>Missing</x:v>
      </x:c>
      <x:c r="S29" s="506" t="n">
        <x:f>IF(K29="Yes",1,0)+IF(L29="Yes",1,0)+IF(M29&lt;&gt;"Clean",1,0)+IF(O29&lt;&gt;"Confirmed",1,0)+IF(P29&lt;&gt;"Validated",1,0)+IF(Q29="Yes",1,0)+IF(R29&lt;&gt;"Valid",1,0)</x:f>
        <x:v>5</x:v>
      </x:c>
      <x:c r="T29" s="517" t="n">
        <x:f>MAX(0,1-S29/7)</x:f>
        <x:v>0.2857142857142857</x:v>
      </x:c>
      <x:c r="U29" s="506" t="str">
        <x:f>IF(AND(K29="No",L29="No",M29="Clean",O29="Confirmed",P29="Validated",Q29="No",R29="Valid"),"Ready","Hold")</x:f>
        <x:v>Hold</x:v>
      </x:c>
      <x:c r="V29" s="507" t="str">
        <x:f>IF(U29="Ready","No action",IF(K29="Yes","Resolve duplicate and confirm surviving record",IF(L29="Yes","Populate and validate email","Complete remediation and validation")))</x:f>
        <x:v>Populate and validate email</x:v>
      </x:c>
    </x:row>
    <x:row r="30">
      <x:c r="A30" s="505" t="n">
        <x:v>1030</x:v>
      </x:c>
      <x:c r="B30" s="506" t="str">
        <x:v>Emp30</x:v>
      </x:c>
      <x:c r="C30" s="506" t="str">
        <x:v>User30</x:v>
      </x:c>
      <x:c r="D30" s="506" t="str">
        <x:v>UK</x:v>
      </x:c>
      <x:c r="E30" s="506" t="str">
        <x:v>Sales</x:v>
      </x:c>
      <x:c r="F30" s="506" t="str">
        <x:v>emp30@company.com</x:v>
      </x:c>
      <x:c r="G30" s="506" t="str">
        <x:v>emp30</x:v>
      </x:c>
      <x:c r="H30" s="506" t="str">
        <x:v>BHR30</x:v>
      </x:c>
      <x:c r="I30" s="506" t="str">
        <x:v>MAC30</x:v>
      </x:c>
      <x:c r="J30" s="506" t="str">
        <x:v>XY30</x:v>
      </x:c>
      <x:c r="K30" s="506" t="str">
        <x:v>No</x:v>
      </x:c>
      <x:c r="L30" s="506" t="str">
        <x:v>No</x:v>
      </x:c>
      <x:c r="M30" s="506" t="str">
        <x:v>Clean</x:v>
      </x:c>
      <x:c r="N30" s="506" t="str">
        <x:v>BambooHR</x:v>
      </x:c>
      <x:c r="O30" s="506" t="str">
        <x:v>Confirmed</x:v>
      </x:c>
      <x:c r="P30" s="506" t="str">
        <x:v>Validated</x:v>
      </x:c>
      <x:c r="Q30" s="506" t="str">
        <x:f>IF(OR(COUNTIF($A$2:$A$201,A30)&gt;1,COUNTIF($G$2:$G$201,G30)&gt;1,AND(F30&lt;&gt;"",COUNTIF($F$2:$F$201,F30)&gt;1),COUNTIF($H$2:$H$201,H30)&gt;1,COUNTIF($I$2:$I$201,I30)&gt;1,COUNTIF($J$2:$J$201,J30)&gt;1),"Yes","No")</x:f>
        <x:v>No</x:v>
      </x:c>
      <x:c r="R30" s="506" t="str">
        <x:f>IF(F30="","Missing",IF(AND(ISNUMBER(SEARCH("@",F30)),ISNUMBER(SEARCH(".",F30))),"Valid","Invalid"))</x:f>
        <x:v>Valid</x:v>
      </x:c>
      <x:c r="S30" s="506" t="n">
        <x:f>IF(K30="Yes",1,0)+IF(L30="Yes",1,0)+IF(M30&lt;&gt;"Clean",1,0)+IF(O30&lt;&gt;"Confirmed",1,0)+IF(P30&lt;&gt;"Validated",1,0)+IF(Q30="Yes",1,0)+IF(R30&lt;&gt;"Valid",1,0)</x:f>
        <x:v>0</x:v>
      </x:c>
      <x:c r="T30" s="517" t="n">
        <x:f>MAX(0,1-S30/7)</x:f>
        <x:v>1</x:v>
      </x:c>
      <x:c r="U30" s="506" t="str">
        <x:f>IF(AND(K30="No",L30="No",M30="Clean",O30="Confirmed",P30="Validated",Q30="No",R30="Valid"),"Ready","Hold")</x:f>
        <x:v>Ready</x:v>
      </x:c>
      <x:c r="V30" s="507" t="str">
        <x:f>IF(U30="Ready","No action",IF(K30="Yes","Resolve duplicate and confirm surviving record",IF(L30="Yes","Populate and validate email","Complete remediation and validation")))</x:f>
        <x:v>No action</x:v>
      </x:c>
    </x:row>
    <x:row r="31">
      <x:c r="A31" s="505" t="n">
        <x:v>1031</x:v>
      </x:c>
      <x:c r="B31" s="506" t="str">
        <x:v>Emp31</x:v>
      </x:c>
      <x:c r="C31" s="506" t="str">
        <x:v>User31</x:v>
      </x:c>
      <x:c r="D31" s="506" t="str">
        <x:v>USA</x:v>
      </x:c>
      <x:c r="E31" s="506" t="str">
        <x:v>Marketing</x:v>
      </x:c>
      <x:c r="F31" s="506" t="str">
        <x:v>emp31@company.com</x:v>
      </x:c>
      <x:c r="G31" s="506" t="str">
        <x:v>emp31</x:v>
      </x:c>
      <x:c r="H31" s="506" t="str">
        <x:v>BHR31</x:v>
      </x:c>
      <x:c r="I31" s="506" t="str">
        <x:v>MAC31</x:v>
      </x:c>
      <x:c r="J31" s="506" t="str">
        <x:v>XY31</x:v>
      </x:c>
      <x:c r="K31" s="506" t="str">
        <x:v>No</x:v>
      </x:c>
      <x:c r="L31" s="506" t="str">
        <x:v>No</x:v>
      </x:c>
      <x:c r="M31" s="506" t="str">
        <x:v>Clean</x:v>
      </x:c>
      <x:c r="N31" s="506" t="str">
        <x:v>Active Directory</x:v>
      </x:c>
      <x:c r="O31" s="506" t="str">
        <x:v>Confirmed</x:v>
      </x:c>
      <x:c r="P31" s="506" t="str">
        <x:v>Validated</x:v>
      </x:c>
      <x:c r="Q31" s="506" t="str">
        <x:f>IF(OR(COUNTIF($A$2:$A$201,A31)&gt;1,COUNTIF($G$2:$G$201,G31)&gt;1,AND(F31&lt;&gt;"",COUNTIF($F$2:$F$201,F31)&gt;1),COUNTIF($H$2:$H$201,H31)&gt;1,COUNTIF($I$2:$I$201,I31)&gt;1,COUNTIF($J$2:$J$201,J31)&gt;1),"Yes","No")</x:f>
        <x:v>No</x:v>
      </x:c>
      <x:c r="R31" s="506" t="str">
        <x:f>IF(F31="","Missing",IF(AND(ISNUMBER(SEARCH("@",F31)),ISNUMBER(SEARCH(".",F31))),"Valid","Invalid"))</x:f>
        <x:v>Valid</x:v>
      </x:c>
      <x:c r="S31" s="506" t="n">
        <x:f>IF(K31="Yes",1,0)+IF(L31="Yes",1,0)+IF(M31&lt;&gt;"Clean",1,0)+IF(O31&lt;&gt;"Confirmed",1,0)+IF(P31&lt;&gt;"Validated",1,0)+IF(Q31="Yes",1,0)+IF(R31&lt;&gt;"Valid",1,0)</x:f>
        <x:v>0</x:v>
      </x:c>
      <x:c r="T31" s="517" t="n">
        <x:f>MAX(0,1-S31/7)</x:f>
        <x:v>1</x:v>
      </x:c>
      <x:c r="U31" s="506" t="str">
        <x:f>IF(AND(K31="No",L31="No",M31="Clean",O31="Confirmed",P31="Validated",Q31="No",R31="Valid"),"Ready","Hold")</x:f>
        <x:v>Ready</x:v>
      </x:c>
      <x:c r="V31" s="507" t="str">
        <x:f>IF(U31="Ready","No action",IF(K31="Yes","Resolve duplicate and confirm surviving record",IF(L31="Yes","Populate and validate email","Complete remediation and validation")))</x:f>
        <x:v>No action</x:v>
      </x:c>
    </x:row>
    <x:row r="32">
      <x:c r="A32" s="505" t="n">
        <x:v>1032</x:v>
      </x:c>
      <x:c r="B32" s="506" t="str">
        <x:v>Emp32</x:v>
      </x:c>
      <x:c r="C32" s="506" t="str">
        <x:v>User32</x:v>
      </x:c>
      <x:c r="D32" s="506" t="str">
        <x:v>Canada</x:v>
      </x:c>
      <x:c r="E32" s="506" t="str">
        <x:v>HR</x:v>
      </x:c>
      <x:c r="F32" s="506" t="str">
        <x:v>emp32@company.com</x:v>
      </x:c>
      <x:c r="G32" s="506" t="str">
        <x:v>emp32</x:v>
      </x:c>
      <x:c r="H32" s="506" t="str">
        <x:v>BHR32</x:v>
      </x:c>
      <x:c r="I32" s="506" t="str">
        <x:v>MAC32</x:v>
      </x:c>
      <x:c r="J32" s="506" t="str">
        <x:v>XY32</x:v>
      </x:c>
      <x:c r="K32" s="506" t="str">
        <x:v>No</x:v>
      </x:c>
      <x:c r="L32" s="506" t="str">
        <x:v>No</x:v>
      </x:c>
      <x:c r="M32" s="506" t="str">
        <x:v>Clean</x:v>
      </x:c>
      <x:c r="N32" s="506" t="str">
        <x:v>Maconomy</x:v>
      </x:c>
      <x:c r="O32" s="506" t="str">
        <x:v>Confirmed</x:v>
      </x:c>
      <x:c r="P32" s="506" t="str">
        <x:v>Validated</x:v>
      </x:c>
      <x:c r="Q32" s="506" t="str">
        <x:f>IF(OR(COUNTIF($A$2:$A$201,A32)&gt;1,COUNTIF($G$2:$G$201,G32)&gt;1,AND(F32&lt;&gt;"",COUNTIF($F$2:$F$201,F32)&gt;1),COUNTIF($H$2:$H$201,H32)&gt;1,COUNTIF($I$2:$I$201,I32)&gt;1,COUNTIF($J$2:$J$201,J32)&gt;1),"Yes","No")</x:f>
        <x:v>No</x:v>
      </x:c>
      <x:c r="R32" s="506" t="str">
        <x:f>IF(F32="","Missing",IF(AND(ISNUMBER(SEARCH("@",F32)),ISNUMBER(SEARCH(".",F32))),"Valid","Invalid"))</x:f>
        <x:v>Valid</x:v>
      </x:c>
      <x:c r="S32" s="506" t="n">
        <x:f>IF(K32="Yes",1,0)+IF(L32="Yes",1,0)+IF(M32&lt;&gt;"Clean",1,0)+IF(O32&lt;&gt;"Confirmed",1,0)+IF(P32&lt;&gt;"Validated",1,0)+IF(Q32="Yes",1,0)+IF(R32&lt;&gt;"Valid",1,0)</x:f>
        <x:v>0</x:v>
      </x:c>
      <x:c r="T32" s="517" t="n">
        <x:f>MAX(0,1-S32/7)</x:f>
        <x:v>1</x:v>
      </x:c>
      <x:c r="U32" s="506" t="str">
        <x:f>IF(AND(K32="No",L32="No",M32="Clean",O32="Confirmed",P32="Validated",Q32="No",R32="Valid"),"Ready","Hold")</x:f>
        <x:v>Ready</x:v>
      </x:c>
      <x:c r="V32" s="507" t="str">
        <x:f>IF(U32="Ready","No action",IF(K32="Yes","Resolve duplicate and confirm surviving record",IF(L32="Yes","Populate and validate email","Complete remediation and validation")))</x:f>
        <x:v>No action</x:v>
      </x:c>
    </x:row>
    <x:row r="33">
      <x:c r="A33" s="505" t="n">
        <x:v>1033</x:v>
      </x:c>
      <x:c r="B33" s="506" t="str">
        <x:v>Emp33</x:v>
      </x:c>
      <x:c r="C33" s="506" t="str">
        <x:v>User33</x:v>
      </x:c>
      <x:c r="D33" s="506" t="str">
        <x:v>Germany</x:v>
      </x:c>
      <x:c r="E33" s="506" t="str">
        <x:v>Finance</x:v>
      </x:c>
      <x:c r="F33" s="506" t="str">
        <x:v>emp33@company.com</x:v>
      </x:c>
      <x:c r="G33" s="506" t="str">
        <x:v>emp33</x:v>
      </x:c>
      <x:c r="H33" s="506" t="str">
        <x:v>BHR33</x:v>
      </x:c>
      <x:c r="I33" s="506" t="str">
        <x:v>MAC33</x:v>
      </x:c>
      <x:c r="J33" s="506" t="str">
        <x:v>XY33</x:v>
      </x:c>
      <x:c r="K33" s="506" t="str">
        <x:v>No</x:v>
      </x:c>
      <x:c r="L33" s="506" t="str">
        <x:v>No</x:v>
      </x:c>
      <x:c r="M33" s="506" t="str">
        <x:v>Clean</x:v>
      </x:c>
      <x:c r="N33" s="506" t="str">
        <x:v>Xytech</x:v>
      </x:c>
      <x:c r="O33" s="506" t="str">
        <x:v>Confirmed</x:v>
      </x:c>
      <x:c r="P33" s="506" t="str">
        <x:v>Validated</x:v>
      </x:c>
      <x:c r="Q33" s="506" t="str">
        <x:f>IF(OR(COUNTIF($A$2:$A$201,A33)&gt;1,COUNTIF($G$2:$G$201,G33)&gt;1,AND(F33&lt;&gt;"",COUNTIF($F$2:$F$201,F33)&gt;1),COUNTIF($H$2:$H$201,H33)&gt;1,COUNTIF($I$2:$I$201,I33)&gt;1,COUNTIF($J$2:$J$201,J33)&gt;1),"Yes","No")</x:f>
        <x:v>No</x:v>
      </x:c>
      <x:c r="R33" s="506" t="str">
        <x:f>IF(F33="","Missing",IF(AND(ISNUMBER(SEARCH("@",F33)),ISNUMBER(SEARCH(".",F33))),"Valid","Invalid"))</x:f>
        <x:v>Valid</x:v>
      </x:c>
      <x:c r="S33" s="506" t="n">
        <x:f>IF(K33="Yes",1,0)+IF(L33="Yes",1,0)+IF(M33&lt;&gt;"Clean",1,0)+IF(O33&lt;&gt;"Confirmed",1,0)+IF(P33&lt;&gt;"Validated",1,0)+IF(Q33="Yes",1,0)+IF(R33&lt;&gt;"Valid",1,0)</x:f>
        <x:v>0</x:v>
      </x:c>
      <x:c r="T33" s="517" t="n">
        <x:f>MAX(0,1-S33/7)</x:f>
        <x:v>1</x:v>
      </x:c>
      <x:c r="U33" s="506" t="str">
        <x:f>IF(AND(K33="No",L33="No",M33="Clean",O33="Confirmed",P33="Validated",Q33="No",R33="Valid"),"Ready","Hold")</x:f>
        <x:v>Ready</x:v>
      </x:c>
      <x:c r="V33" s="507" t="str">
        <x:f>IF(U33="Ready","No action",IF(K33="Yes","Resolve duplicate and confirm surviving record",IF(L33="Yes","Populate and validate email","Complete remediation and validation")))</x:f>
        <x:v>No action</x:v>
      </x:c>
    </x:row>
    <x:row r="34">
      <x:c r="A34" s="505" t="n">
        <x:v>1034</x:v>
      </x:c>
      <x:c r="B34" s="506" t="str">
        <x:v>Emp34</x:v>
      </x:c>
      <x:c r="C34" s="506" t="str">
        <x:v>User34</x:v>
      </x:c>
      <x:c r="D34" s="506" t="str">
        <x:v>India</x:v>
      </x:c>
      <x:c r="E34" s="506" t="str">
        <x:v>IT</x:v>
      </x:c>
      <x:c r="F34" s="506" t="str">
        <x:v>emp34@company.com</x:v>
      </x:c>
      <x:c r="G34" s="506" t="str">
        <x:v>emp34</x:v>
      </x:c>
      <x:c r="H34" s="506" t="str">
        <x:v>BHR34</x:v>
      </x:c>
      <x:c r="I34" s="506" t="str">
        <x:v>MAC34</x:v>
      </x:c>
      <x:c r="J34" s="506" t="str">
        <x:v>XY34</x:v>
      </x:c>
      <x:c r="K34" s="506" t="str">
        <x:v>No</x:v>
      </x:c>
      <x:c r="L34" s="506" t="str">
        <x:v>No</x:v>
      </x:c>
      <x:c r="M34" s="506" t="str">
        <x:v>Clean</x:v>
      </x:c>
      <x:c r="N34" s="506" t="str">
        <x:v>BambooHR</x:v>
      </x:c>
      <x:c r="O34" s="506" t="str">
        <x:v>Confirmed</x:v>
      </x:c>
      <x:c r="P34" s="506" t="str">
        <x:v>Validated</x:v>
      </x:c>
      <x:c r="Q34" s="506" t="str">
        <x:f>IF(OR(COUNTIF($A$2:$A$201,A34)&gt;1,COUNTIF($G$2:$G$201,G34)&gt;1,AND(F34&lt;&gt;"",COUNTIF($F$2:$F$201,F34)&gt;1),COUNTIF($H$2:$H$201,H34)&gt;1,COUNTIF($I$2:$I$201,I34)&gt;1,COUNTIF($J$2:$J$201,J34)&gt;1),"Yes","No")</x:f>
        <x:v>No</x:v>
      </x:c>
      <x:c r="R34" s="506" t="str">
        <x:f>IF(F34="","Missing",IF(AND(ISNUMBER(SEARCH("@",F34)),ISNUMBER(SEARCH(".",F34))),"Valid","Invalid"))</x:f>
        <x:v>Valid</x:v>
      </x:c>
      <x:c r="S34" s="506" t="n">
        <x:f>IF(K34="Yes",1,0)+IF(L34="Yes",1,0)+IF(M34&lt;&gt;"Clean",1,0)+IF(O34&lt;&gt;"Confirmed",1,0)+IF(P34&lt;&gt;"Validated",1,0)+IF(Q34="Yes",1,0)+IF(R34&lt;&gt;"Valid",1,0)</x:f>
        <x:v>0</x:v>
      </x:c>
      <x:c r="T34" s="517" t="n">
        <x:f>MAX(0,1-S34/7)</x:f>
        <x:v>1</x:v>
      </x:c>
      <x:c r="U34" s="506" t="str">
        <x:f>IF(AND(K34="No",L34="No",M34="Clean",O34="Confirmed",P34="Validated",Q34="No",R34="Valid"),"Ready","Hold")</x:f>
        <x:v>Ready</x:v>
      </x:c>
      <x:c r="V34" s="507" t="str">
        <x:f>IF(U34="Ready","No action",IF(K34="Yes","Resolve duplicate and confirm surviving record",IF(L34="Yes","Populate and validate email","Complete remediation and validation")))</x:f>
        <x:v>No action</x:v>
      </x:c>
    </x:row>
    <x:row r="35">
      <x:c r="A35" s="505" t="n">
        <x:v>1035</x:v>
      </x:c>
      <x:c r="B35" s="506" t="str">
        <x:v>Emp35</x:v>
      </x:c>
      <x:c r="C35" s="506" t="str">
        <x:v>User35</x:v>
      </x:c>
      <x:c r="D35" s="506" t="str">
        <x:v>Australia</x:v>
      </x:c>
      <x:c r="E35" s="506" t="str">
        <x:v>Operations</x:v>
      </x:c>
      <x:c r="F35" s="506" t="str">
        <x:v>emp35@company.com</x:v>
      </x:c>
      <x:c r="G35" s="506" t="str">
        <x:v>emp35</x:v>
      </x:c>
      <x:c r="H35" s="506" t="str">
        <x:v>BHR35</x:v>
      </x:c>
      <x:c r="I35" s="506" t="str">
        <x:v>MAC35</x:v>
      </x:c>
      <x:c r="J35" s="506" t="str">
        <x:v>XY35</x:v>
      </x:c>
      <x:c r="K35" s="506" t="str">
        <x:v>No</x:v>
      </x:c>
      <x:c r="L35" s="506" t="str">
        <x:v>No</x:v>
      </x:c>
      <x:c r="M35" s="506" t="str">
        <x:v>Clean</x:v>
      </x:c>
      <x:c r="N35" s="506" t="str">
        <x:v>Active Directory</x:v>
      </x:c>
      <x:c r="O35" s="506" t="str">
        <x:v>Confirmed</x:v>
      </x:c>
      <x:c r="P35" s="506" t="str">
        <x:v>Validated</x:v>
      </x:c>
      <x:c r="Q35" s="506" t="str">
        <x:f>IF(OR(COUNTIF($A$2:$A$201,A35)&gt;1,COUNTIF($G$2:$G$201,G35)&gt;1,AND(F35&lt;&gt;"",COUNTIF($F$2:$F$201,F35)&gt;1),COUNTIF($H$2:$H$201,H35)&gt;1,COUNTIF($I$2:$I$201,I35)&gt;1,COUNTIF($J$2:$J$201,J35)&gt;1),"Yes","No")</x:f>
        <x:v>No</x:v>
      </x:c>
      <x:c r="R35" s="506" t="str">
        <x:f>IF(F35="","Missing",IF(AND(ISNUMBER(SEARCH("@",F35)),ISNUMBER(SEARCH(".",F35))),"Valid","Invalid"))</x:f>
        <x:v>Valid</x:v>
      </x:c>
      <x:c r="S35" s="506" t="n">
        <x:f>IF(K35="Yes",1,0)+IF(L35="Yes",1,0)+IF(M35&lt;&gt;"Clean",1,0)+IF(O35&lt;&gt;"Confirmed",1,0)+IF(P35&lt;&gt;"Validated",1,0)+IF(Q35="Yes",1,0)+IF(R35&lt;&gt;"Valid",1,0)</x:f>
        <x:v>0</x:v>
      </x:c>
      <x:c r="T35" s="517" t="n">
        <x:f>MAX(0,1-S35/7)</x:f>
        <x:v>1</x:v>
      </x:c>
      <x:c r="U35" s="506" t="str">
        <x:f>IF(AND(K35="No",L35="No",M35="Clean",O35="Confirmed",P35="Validated",Q35="No",R35="Valid"),"Ready","Hold")</x:f>
        <x:v>Ready</x:v>
      </x:c>
      <x:c r="V35" s="507" t="str">
        <x:f>IF(U35="Ready","No action",IF(K35="Yes","Resolve duplicate and confirm surviving record",IF(L35="Yes","Populate and validate email","Complete remediation and validation")))</x:f>
        <x:v>No action</x:v>
      </x:c>
    </x:row>
    <x:row r="36">
      <x:c r="A36" s="505" t="n">
        <x:v>1036</x:v>
      </x:c>
      <x:c r="B36" s="506" t="str">
        <x:v>Emp36</x:v>
      </x:c>
      <x:c r="C36" s="506" t="str">
        <x:v>User36</x:v>
      </x:c>
      <x:c r="D36" s="506" t="str">
        <x:v>UAE</x:v>
      </x:c>
      <x:c r="E36" s="506" t="str">
        <x:v>Sales</x:v>
      </x:c>
      <x:c r="F36" s="506" t="str">
        <x:v>emp36@company.com</x:v>
      </x:c>
      <x:c r="G36" s="506" t="str">
        <x:v>emp36</x:v>
      </x:c>
      <x:c r="H36" s="506" t="str">
        <x:v>BHR36</x:v>
      </x:c>
      <x:c r="I36" s="506" t="str">
        <x:v>MAC36</x:v>
      </x:c>
      <x:c r="J36" s="506" t="str">
        <x:v>XY36</x:v>
      </x:c>
      <x:c r="K36" s="506" t="str">
        <x:v>No</x:v>
      </x:c>
      <x:c r="L36" s="506" t="str">
        <x:v>No</x:v>
      </x:c>
      <x:c r="M36" s="506" t="str">
        <x:v>Clean</x:v>
      </x:c>
      <x:c r="N36" s="506" t="str">
        <x:v>Maconomy</x:v>
      </x:c>
      <x:c r="O36" s="506" t="str">
        <x:v>Confirmed</x:v>
      </x:c>
      <x:c r="P36" s="506" t="str">
        <x:v>Validated</x:v>
      </x:c>
      <x:c r="Q36" s="506" t="str">
        <x:f>IF(OR(COUNTIF($A$2:$A$201,A36)&gt;1,COUNTIF($G$2:$G$201,G36)&gt;1,AND(F36&lt;&gt;"",COUNTIF($F$2:$F$201,F36)&gt;1),COUNTIF($H$2:$H$201,H36)&gt;1,COUNTIF($I$2:$I$201,I36)&gt;1,COUNTIF($J$2:$J$201,J36)&gt;1),"Yes","No")</x:f>
        <x:v>No</x:v>
      </x:c>
      <x:c r="R36" s="506" t="str">
        <x:f>IF(F36="","Missing",IF(AND(ISNUMBER(SEARCH("@",F36)),ISNUMBER(SEARCH(".",F36))),"Valid","Invalid"))</x:f>
        <x:v>Valid</x:v>
      </x:c>
      <x:c r="S36" s="506" t="n">
        <x:f>IF(K36="Yes",1,0)+IF(L36="Yes",1,0)+IF(M36&lt;&gt;"Clean",1,0)+IF(O36&lt;&gt;"Confirmed",1,0)+IF(P36&lt;&gt;"Validated",1,0)+IF(Q36="Yes",1,0)+IF(R36&lt;&gt;"Valid",1,0)</x:f>
        <x:v>0</x:v>
      </x:c>
      <x:c r="T36" s="517" t="n">
        <x:f>MAX(0,1-S36/7)</x:f>
        <x:v>1</x:v>
      </x:c>
      <x:c r="U36" s="506" t="str">
        <x:f>IF(AND(K36="No",L36="No",M36="Clean",O36="Confirmed",P36="Validated",Q36="No",R36="Valid"),"Ready","Hold")</x:f>
        <x:v>Ready</x:v>
      </x:c>
      <x:c r="V36" s="507" t="str">
        <x:f>IF(U36="Ready","No action",IF(K36="Yes","Resolve duplicate and confirm surviving record",IF(L36="Yes","Populate and validate email","Complete remediation and validation")))</x:f>
        <x:v>No action</x:v>
      </x:c>
    </x:row>
    <x:row r="37">
      <x:c r="A37" s="505" t="n">
        <x:v>1037</x:v>
      </x:c>
      <x:c r="B37" s="506" t="str">
        <x:v>Emp37</x:v>
      </x:c>
      <x:c r="C37" s="506" t="str">
        <x:v>User37</x:v>
      </x:c>
      <x:c r="D37" s="506" t="str">
        <x:v>France</x:v>
      </x:c>
      <x:c r="E37" s="506" t="str">
        <x:v>Marketing</x:v>
      </x:c>
      <x:c r="F37" s="506" t="str">
        <x:v>emp37@company.com</x:v>
      </x:c>
      <x:c r="G37" s="506" t="str">
        <x:v>emp37</x:v>
      </x:c>
      <x:c r="H37" s="506" t="str">
        <x:v>BHR37</x:v>
      </x:c>
      <x:c r="I37" s="506" t="str">
        <x:v>MAC37</x:v>
      </x:c>
      <x:c r="J37" s="506" t="str">
        <x:v>XY37</x:v>
      </x:c>
      <x:c r="K37" s="506" t="str">
        <x:v>Yes</x:v>
      </x:c>
      <x:c r="L37" s="506" t="str">
        <x:v>No</x:v>
      </x:c>
      <x:c r="M37" s="506" t="str">
        <x:v>Issue</x:v>
      </x:c>
      <x:c r="N37" s="506" t="str">
        <x:v>Xytech</x:v>
      </x:c>
      <x:c r="O37" s="506" t="str">
        <x:v>Pending</x:v>
      </x:c>
      <x:c r="P37" s="506" t="str">
        <x:v>Pending</x:v>
      </x:c>
      <x:c r="Q37" s="506" t="str">
        <x:f>IF(OR(COUNTIF($A$2:$A$201,A37)&gt;1,COUNTIF($G$2:$G$201,G37)&gt;1,AND(F37&lt;&gt;"",COUNTIF($F$2:$F$201,F37)&gt;1),COUNTIF($H$2:$H$201,H37)&gt;1,COUNTIF($I$2:$I$201,I37)&gt;1,COUNTIF($J$2:$J$201,J37)&gt;1),"Yes","No")</x:f>
        <x:v>No</x:v>
      </x:c>
      <x:c r="R37" s="506" t="str">
        <x:f>IF(F37="","Missing",IF(AND(ISNUMBER(SEARCH("@",F37)),ISNUMBER(SEARCH(".",F37))),"Valid","Invalid"))</x:f>
        <x:v>Valid</x:v>
      </x:c>
      <x:c r="S37" s="506" t="n">
        <x:f>IF(K37="Yes",1,0)+IF(L37="Yes",1,0)+IF(M37&lt;&gt;"Clean",1,0)+IF(O37&lt;&gt;"Confirmed",1,0)+IF(P37&lt;&gt;"Validated",1,0)+IF(Q37="Yes",1,0)+IF(R37&lt;&gt;"Valid",1,0)</x:f>
        <x:v>4</x:v>
      </x:c>
      <x:c r="T37" s="517" t="n">
        <x:f>MAX(0,1-S37/7)</x:f>
        <x:v>0.4285714285714286</x:v>
      </x:c>
      <x:c r="U37" s="506" t="str">
        <x:f>IF(AND(K37="No",L37="No",M37="Clean",O37="Confirmed",P37="Validated",Q37="No",R37="Valid"),"Ready","Hold")</x:f>
        <x:v>Hold</x:v>
      </x:c>
      <x:c r="V37" s="507" t="str">
        <x:f>IF(U37="Ready","No action",IF(K37="Yes","Resolve duplicate and confirm surviving record",IF(L37="Yes","Populate and validate email","Complete remediation and validation")))</x:f>
        <x:v>Resolve duplicate and confirm surviving record</x:v>
      </x:c>
    </x:row>
    <x:row r="38">
      <x:c r="A38" s="505" t="n">
        <x:v>1038</x:v>
      </x:c>
      <x:c r="B38" s="506" t="str">
        <x:v>Emp38</x:v>
      </x:c>
      <x:c r="C38" s="506" t="str">
        <x:v>User38</x:v>
      </x:c>
      <x:c r="D38" s="506" t="str">
        <x:v>Nigeria</x:v>
      </x:c>
      <x:c r="E38" s="506" t="str">
        <x:v>HR</x:v>
      </x:c>
      <x:c r="F38" s="506" t="str">
        <x:v>emp38@company.com</x:v>
      </x:c>
      <x:c r="G38" s="506" t="str">
        <x:v>emp38</x:v>
      </x:c>
      <x:c r="H38" s="506" t="str">
        <x:v>BHR38</x:v>
      </x:c>
      <x:c r="I38" s="506" t="str">
        <x:v>MAC38</x:v>
      </x:c>
      <x:c r="J38" s="506" t="str">
        <x:v>XY38</x:v>
      </x:c>
      <x:c r="K38" s="506" t="str">
        <x:v>No</x:v>
      </x:c>
      <x:c r="L38" s="506" t="str">
        <x:v>No</x:v>
      </x:c>
      <x:c r="M38" s="506" t="str">
        <x:v>Clean</x:v>
      </x:c>
      <x:c r="N38" s="506" t="str">
        <x:v>BambooHR</x:v>
      </x:c>
      <x:c r="O38" s="506" t="str">
        <x:v>Confirmed</x:v>
      </x:c>
      <x:c r="P38" s="506" t="str">
        <x:v>Validated</x:v>
      </x:c>
      <x:c r="Q38" s="506" t="str">
        <x:f>IF(OR(COUNTIF($A$2:$A$201,A38)&gt;1,COUNTIF($G$2:$G$201,G38)&gt;1,AND(F38&lt;&gt;"",COUNTIF($F$2:$F$201,F38)&gt;1),COUNTIF($H$2:$H$201,H38)&gt;1,COUNTIF($I$2:$I$201,I38)&gt;1,COUNTIF($J$2:$J$201,J38)&gt;1),"Yes","No")</x:f>
        <x:v>No</x:v>
      </x:c>
      <x:c r="R38" s="506" t="str">
        <x:f>IF(F38="","Missing",IF(AND(ISNUMBER(SEARCH("@",F38)),ISNUMBER(SEARCH(".",F38))),"Valid","Invalid"))</x:f>
        <x:v>Valid</x:v>
      </x:c>
      <x:c r="S38" s="506" t="n">
        <x:f>IF(K38="Yes",1,0)+IF(L38="Yes",1,0)+IF(M38&lt;&gt;"Clean",1,0)+IF(O38&lt;&gt;"Confirmed",1,0)+IF(P38&lt;&gt;"Validated",1,0)+IF(Q38="Yes",1,0)+IF(R38&lt;&gt;"Valid",1,0)</x:f>
        <x:v>0</x:v>
      </x:c>
      <x:c r="T38" s="517" t="n">
        <x:f>MAX(0,1-S38/7)</x:f>
        <x:v>1</x:v>
      </x:c>
      <x:c r="U38" s="506" t="str">
        <x:f>IF(AND(K38="No",L38="No",M38="Clean",O38="Confirmed",P38="Validated",Q38="No",R38="Valid"),"Ready","Hold")</x:f>
        <x:v>Ready</x:v>
      </x:c>
      <x:c r="V38" s="507" t="str">
        <x:f>IF(U38="Ready","No action",IF(K38="Yes","Resolve duplicate and confirm surviving record",IF(L38="Yes","Populate and validate email","Complete remediation and validation")))</x:f>
        <x:v>No action</x:v>
      </x:c>
    </x:row>
    <x:row r="39">
      <x:c r="A39" s="505" t="n">
        <x:v>1039</x:v>
      </x:c>
      <x:c r="B39" s="506" t="str">
        <x:v>Emp39</x:v>
      </x:c>
      <x:c r="C39" s="506" t="str">
        <x:v>User39</x:v>
      </x:c>
      <x:c r="D39" s="506" t="str">
        <x:v>Gambia</x:v>
      </x:c>
      <x:c r="E39" s="506" t="str">
        <x:v>Finance</x:v>
      </x:c>
      <x:c r="F39" s="506" t="str">
        <x:v>emp39@company.com</x:v>
      </x:c>
      <x:c r="G39" s="506" t="str">
        <x:v>emp39</x:v>
      </x:c>
      <x:c r="H39" s="506" t="str">
        <x:v>BHR39</x:v>
      </x:c>
      <x:c r="I39" s="506" t="str">
        <x:v>MAC39</x:v>
      </x:c>
      <x:c r="J39" s="506" t="str">
        <x:v>XY39</x:v>
      </x:c>
      <x:c r="K39" s="506" t="str">
        <x:v>No</x:v>
      </x:c>
      <x:c r="L39" s="506" t="str">
        <x:v>No</x:v>
      </x:c>
      <x:c r="M39" s="506" t="str">
        <x:v>Clean</x:v>
      </x:c>
      <x:c r="N39" s="506" t="str">
        <x:v>Active Directory</x:v>
      </x:c>
      <x:c r="O39" s="506" t="str">
        <x:v>Confirmed</x:v>
      </x:c>
      <x:c r="P39" s="506" t="str">
        <x:v>Validated</x:v>
      </x:c>
      <x:c r="Q39" s="506" t="str">
        <x:f>IF(OR(COUNTIF($A$2:$A$201,A39)&gt;1,COUNTIF($G$2:$G$201,G39)&gt;1,AND(F39&lt;&gt;"",COUNTIF($F$2:$F$201,F39)&gt;1),COUNTIF($H$2:$H$201,H39)&gt;1,COUNTIF($I$2:$I$201,I39)&gt;1,COUNTIF($J$2:$J$201,J39)&gt;1),"Yes","No")</x:f>
        <x:v>No</x:v>
      </x:c>
      <x:c r="R39" s="506" t="str">
        <x:f>IF(F39="","Missing",IF(AND(ISNUMBER(SEARCH("@",F39)),ISNUMBER(SEARCH(".",F39))),"Valid","Invalid"))</x:f>
        <x:v>Valid</x:v>
      </x:c>
      <x:c r="S39" s="506" t="n">
        <x:f>IF(K39="Yes",1,0)+IF(L39="Yes",1,0)+IF(M39&lt;&gt;"Clean",1,0)+IF(O39&lt;&gt;"Confirmed",1,0)+IF(P39&lt;&gt;"Validated",1,0)+IF(Q39="Yes",1,0)+IF(R39&lt;&gt;"Valid",1,0)</x:f>
        <x:v>0</x:v>
      </x:c>
      <x:c r="T39" s="517" t="n">
        <x:f>MAX(0,1-S39/7)</x:f>
        <x:v>1</x:v>
      </x:c>
      <x:c r="U39" s="506" t="str">
        <x:f>IF(AND(K39="No",L39="No",M39="Clean",O39="Confirmed",P39="Validated",Q39="No",R39="Valid"),"Ready","Hold")</x:f>
        <x:v>Ready</x:v>
      </x:c>
      <x:c r="V39" s="507" t="str">
        <x:f>IF(U39="Ready","No action",IF(K39="Yes","Resolve duplicate and confirm surviving record",IF(L39="Yes","Populate and validate email","Complete remediation and validation")))</x:f>
        <x:v>No action</x:v>
      </x:c>
    </x:row>
    <x:row r="40">
      <x:c r="A40" s="505" t="n">
        <x:v>1040</x:v>
      </x:c>
      <x:c r="B40" s="506" t="str">
        <x:v>Emp40</x:v>
      </x:c>
      <x:c r="C40" s="506" t="str">
        <x:v>User40</x:v>
      </x:c>
      <x:c r="D40" s="506" t="str">
        <x:v>Spain</x:v>
      </x:c>
      <x:c r="E40" s="506" t="str">
        <x:v>IT</x:v>
      </x:c>
      <x:c r="F40" s="506" t="str">
        <x:v>emp40@company.com</x:v>
      </x:c>
      <x:c r="G40" s="506" t="str">
        <x:v>emp40</x:v>
      </x:c>
      <x:c r="H40" s="506" t="str">
        <x:v>BHR40</x:v>
      </x:c>
      <x:c r="I40" s="506" t="str">
        <x:v>MAC40</x:v>
      </x:c>
      <x:c r="J40" s="506" t="str">
        <x:v>XY40</x:v>
      </x:c>
      <x:c r="K40" s="506" t="str">
        <x:v>No</x:v>
      </x:c>
      <x:c r="L40" s="506" t="str">
        <x:v>No</x:v>
      </x:c>
      <x:c r="M40" s="506" t="str">
        <x:v>Clean</x:v>
      </x:c>
      <x:c r="N40" s="506" t="str">
        <x:v>Maconomy</x:v>
      </x:c>
      <x:c r="O40" s="506" t="str">
        <x:v>Confirmed</x:v>
      </x:c>
      <x:c r="P40" s="506" t="str">
        <x:v>Validated</x:v>
      </x:c>
      <x:c r="Q40" s="506" t="str">
        <x:f>IF(OR(COUNTIF($A$2:$A$201,A40)&gt;1,COUNTIF($G$2:$G$201,G40)&gt;1,AND(F40&lt;&gt;"",COUNTIF($F$2:$F$201,F40)&gt;1),COUNTIF($H$2:$H$201,H40)&gt;1,COUNTIF($I$2:$I$201,I40)&gt;1,COUNTIF($J$2:$J$201,J40)&gt;1),"Yes","No")</x:f>
        <x:v>No</x:v>
      </x:c>
      <x:c r="R40" s="506" t="str">
        <x:f>IF(F40="","Missing",IF(AND(ISNUMBER(SEARCH("@",F40)),ISNUMBER(SEARCH(".",F40))),"Valid","Invalid"))</x:f>
        <x:v>Valid</x:v>
      </x:c>
      <x:c r="S40" s="506" t="n">
        <x:f>IF(K40="Yes",1,0)+IF(L40="Yes",1,0)+IF(M40&lt;&gt;"Clean",1,0)+IF(O40&lt;&gt;"Confirmed",1,0)+IF(P40&lt;&gt;"Validated",1,0)+IF(Q40="Yes",1,0)+IF(R40&lt;&gt;"Valid",1,0)</x:f>
        <x:v>0</x:v>
      </x:c>
      <x:c r="T40" s="517" t="n">
        <x:f>MAX(0,1-S40/7)</x:f>
        <x:v>1</x:v>
      </x:c>
      <x:c r="U40" s="506" t="str">
        <x:f>IF(AND(K40="No",L40="No",M40="Clean",O40="Confirmed",P40="Validated",Q40="No",R40="Valid"),"Ready","Hold")</x:f>
        <x:v>Ready</x:v>
      </x:c>
      <x:c r="V40" s="507" t="str">
        <x:f>IF(U40="Ready","No action",IF(K40="Yes","Resolve duplicate and confirm surviving record",IF(L40="Yes","Populate and validate email","Complete remediation and validation")))</x:f>
        <x:v>No action</x:v>
      </x:c>
    </x:row>
    <x:row r="41">
      <x:c r="A41" s="505" t="n">
        <x:v>1041</x:v>
      </x:c>
      <x:c r="B41" s="506" t="str">
        <x:v>Emp41</x:v>
      </x:c>
      <x:c r="C41" s="506" t="str">
        <x:v>User41</x:v>
      </x:c>
      <x:c r="D41" s="506" t="str">
        <x:v>Netherlands</x:v>
      </x:c>
      <x:c r="E41" s="506" t="str">
        <x:v>Operations</x:v>
      </x:c>
      <x:c r="F41" s="506" t="str">
        <x:v>emp41@company.com</x:v>
      </x:c>
      <x:c r="G41" s="506" t="str">
        <x:v>emp41</x:v>
      </x:c>
      <x:c r="H41" s="506" t="str">
        <x:v>BHR41</x:v>
      </x:c>
      <x:c r="I41" s="506" t="str">
        <x:v>MAC41</x:v>
      </x:c>
      <x:c r="J41" s="506" t="str">
        <x:v>XY41</x:v>
      </x:c>
      <x:c r="K41" s="506" t="str">
        <x:v>No</x:v>
      </x:c>
      <x:c r="L41" s="506" t="str">
        <x:v>No</x:v>
      </x:c>
      <x:c r="M41" s="506" t="str">
        <x:v>Clean</x:v>
      </x:c>
      <x:c r="N41" s="506" t="str">
        <x:v>Xytech</x:v>
      </x:c>
      <x:c r="O41" s="506" t="str">
        <x:v>Confirmed</x:v>
      </x:c>
      <x:c r="P41" s="506" t="str">
        <x:v>Validated</x:v>
      </x:c>
      <x:c r="Q41" s="506" t="str">
        <x:f>IF(OR(COUNTIF($A$2:$A$201,A41)&gt;1,COUNTIF($G$2:$G$201,G41)&gt;1,AND(F41&lt;&gt;"",COUNTIF($F$2:$F$201,F41)&gt;1),COUNTIF($H$2:$H$201,H41)&gt;1,COUNTIF($I$2:$I$201,I41)&gt;1,COUNTIF($J$2:$J$201,J41)&gt;1),"Yes","No")</x:f>
        <x:v>No</x:v>
      </x:c>
      <x:c r="R41" s="506" t="str">
        <x:f>IF(F41="","Missing",IF(AND(ISNUMBER(SEARCH("@",F41)),ISNUMBER(SEARCH(".",F41))),"Valid","Invalid"))</x:f>
        <x:v>Valid</x:v>
      </x:c>
      <x:c r="S41" s="506" t="n">
        <x:f>IF(K41="Yes",1,0)+IF(L41="Yes",1,0)+IF(M41&lt;&gt;"Clean",1,0)+IF(O41&lt;&gt;"Confirmed",1,0)+IF(P41&lt;&gt;"Validated",1,0)+IF(Q41="Yes",1,0)+IF(R41&lt;&gt;"Valid",1,0)</x:f>
        <x:v>0</x:v>
      </x:c>
      <x:c r="T41" s="517" t="n">
        <x:f>MAX(0,1-S41/7)</x:f>
        <x:v>1</x:v>
      </x:c>
      <x:c r="U41" s="506" t="str">
        <x:f>IF(AND(K41="No",L41="No",M41="Clean",O41="Confirmed",P41="Validated",Q41="No",R41="Valid"),"Ready","Hold")</x:f>
        <x:v>Ready</x:v>
      </x:c>
      <x:c r="V41" s="507" t="str">
        <x:f>IF(U41="Ready","No action",IF(K41="Yes","Resolve duplicate and confirm surviving record",IF(L41="Yes","Populate and validate email","Complete remediation and validation")))</x:f>
        <x:v>No action</x:v>
      </x:c>
    </x:row>
    <x:row r="42">
      <x:c r="A42" s="505" t="n">
        <x:v>1042</x:v>
      </x:c>
      <x:c r="B42" s="506" t="str">
        <x:v>Emp42</x:v>
      </x:c>
      <x:c r="C42" s="506" t="str">
        <x:v>User42</x:v>
      </x:c>
      <x:c r="D42" s="506" t="str">
        <x:v>Singapore</x:v>
      </x:c>
      <x:c r="E42" s="506" t="str">
        <x:v>Sales</x:v>
      </x:c>
      <x:c r="F42" s="506" t="str">
        <x:v>emp42@company.com</x:v>
      </x:c>
      <x:c r="G42" s="506" t="str">
        <x:v>emp42</x:v>
      </x:c>
      <x:c r="H42" s="506" t="str">
        <x:v>BHR42</x:v>
      </x:c>
      <x:c r="I42" s="506" t="str">
        <x:v>MAC42</x:v>
      </x:c>
      <x:c r="J42" s="506" t="str">
        <x:v>XY42</x:v>
      </x:c>
      <x:c r="K42" s="506" t="str">
        <x:v>No</x:v>
      </x:c>
      <x:c r="L42" s="506" t="str">
        <x:v>No</x:v>
      </x:c>
      <x:c r="M42" s="506" t="str">
        <x:v>Clean</x:v>
      </x:c>
      <x:c r="N42" s="506" t="str">
        <x:v>BambooHR</x:v>
      </x:c>
      <x:c r="O42" s="506" t="str">
        <x:v>Confirmed</x:v>
      </x:c>
      <x:c r="P42" s="506" t="str">
        <x:v>Validated</x:v>
      </x:c>
      <x:c r="Q42" s="506" t="str">
        <x:f>IF(OR(COUNTIF($A$2:$A$201,A42)&gt;1,COUNTIF($G$2:$G$201,G42)&gt;1,AND(F42&lt;&gt;"",COUNTIF($F$2:$F$201,F42)&gt;1),COUNTIF($H$2:$H$201,H42)&gt;1,COUNTIF($I$2:$I$201,I42)&gt;1,COUNTIF($J$2:$J$201,J42)&gt;1),"Yes","No")</x:f>
        <x:v>No</x:v>
      </x:c>
      <x:c r="R42" s="506" t="str">
        <x:f>IF(F42="","Missing",IF(AND(ISNUMBER(SEARCH("@",F42)),ISNUMBER(SEARCH(".",F42))),"Valid","Invalid"))</x:f>
        <x:v>Valid</x:v>
      </x:c>
      <x:c r="S42" s="506" t="n">
        <x:f>IF(K42="Yes",1,0)+IF(L42="Yes",1,0)+IF(M42&lt;&gt;"Clean",1,0)+IF(O42&lt;&gt;"Confirmed",1,0)+IF(P42&lt;&gt;"Validated",1,0)+IF(Q42="Yes",1,0)+IF(R42&lt;&gt;"Valid",1,0)</x:f>
        <x:v>0</x:v>
      </x:c>
      <x:c r="T42" s="517" t="n">
        <x:f>MAX(0,1-S42/7)</x:f>
        <x:v>1</x:v>
      </x:c>
      <x:c r="U42" s="506" t="str">
        <x:f>IF(AND(K42="No",L42="No",M42="Clean",O42="Confirmed",P42="Validated",Q42="No",R42="Valid"),"Ready","Hold")</x:f>
        <x:v>Ready</x:v>
      </x:c>
      <x:c r="V42" s="507" t="str">
        <x:f>IF(U42="Ready","No action",IF(K42="Yes","Resolve duplicate and confirm surviving record",IF(L42="Yes","Populate and validate email","Complete remediation and validation")))</x:f>
        <x:v>No action</x:v>
      </x:c>
    </x:row>
    <x:row r="43">
      <x:c r="A43" s="505" t="n">
        <x:v>1043</x:v>
      </x:c>
      <x:c r="B43" s="506" t="str">
        <x:v>Emp43</x:v>
      </x:c>
      <x:c r="C43" s="506" t="str">
        <x:v>User43</x:v>
      </x:c>
      <x:c r="D43" s="506" t="str">
        <x:v>Brazil</x:v>
      </x:c>
      <x:c r="E43" s="506" t="str">
        <x:v>Marketing</x:v>
      </x:c>
      <x:c r="F43" s="506" t="str">
        <x:v>emp43@company.com</x:v>
      </x:c>
      <x:c r="G43" s="506" t="str">
        <x:v>emp43</x:v>
      </x:c>
      <x:c r="H43" s="506" t="str">
        <x:v>BHR43</x:v>
      </x:c>
      <x:c r="I43" s="506" t="str">
        <x:v>MAC43</x:v>
      </x:c>
      <x:c r="J43" s="506" t="str">
        <x:v>XY43</x:v>
      </x:c>
      <x:c r="K43" s="506" t="str">
        <x:v>No</x:v>
      </x:c>
      <x:c r="L43" s="506" t="str">
        <x:v>No</x:v>
      </x:c>
      <x:c r="M43" s="506" t="str">
        <x:v>Clean</x:v>
      </x:c>
      <x:c r="N43" s="506" t="str">
        <x:v>Active Directory</x:v>
      </x:c>
      <x:c r="O43" s="506" t="str">
        <x:v>Confirmed</x:v>
      </x:c>
      <x:c r="P43" s="506" t="str">
        <x:v>Validated</x:v>
      </x:c>
      <x:c r="Q43" s="506" t="str">
        <x:f>IF(OR(COUNTIF($A$2:$A$201,A43)&gt;1,COUNTIF($G$2:$G$201,G43)&gt;1,AND(F43&lt;&gt;"",COUNTIF($F$2:$F$201,F43)&gt;1),COUNTIF($H$2:$H$201,H43)&gt;1,COUNTIF($I$2:$I$201,I43)&gt;1,COUNTIF($J$2:$J$201,J43)&gt;1),"Yes","No")</x:f>
        <x:v>No</x:v>
      </x:c>
      <x:c r="R43" s="506" t="str">
        <x:f>IF(F43="","Missing",IF(AND(ISNUMBER(SEARCH("@",F43)),ISNUMBER(SEARCH(".",F43))),"Valid","Invalid"))</x:f>
        <x:v>Valid</x:v>
      </x:c>
      <x:c r="S43" s="506" t="n">
        <x:f>IF(K43="Yes",1,0)+IF(L43="Yes",1,0)+IF(M43&lt;&gt;"Clean",1,0)+IF(O43&lt;&gt;"Confirmed",1,0)+IF(P43&lt;&gt;"Validated",1,0)+IF(Q43="Yes",1,0)+IF(R43&lt;&gt;"Valid",1,0)</x:f>
        <x:v>0</x:v>
      </x:c>
      <x:c r="T43" s="517" t="n">
        <x:f>MAX(0,1-S43/7)</x:f>
        <x:v>1</x:v>
      </x:c>
      <x:c r="U43" s="506" t="str">
        <x:f>IF(AND(K43="No",L43="No",M43="Clean",O43="Confirmed",P43="Validated",Q43="No",R43="Valid"),"Ready","Hold")</x:f>
        <x:v>Ready</x:v>
      </x:c>
      <x:c r="V43" s="507" t="str">
        <x:f>IF(U43="Ready","No action",IF(K43="Yes","Resolve duplicate and confirm surviving record",IF(L43="Yes","Populate and validate email","Complete remediation and validation")))</x:f>
        <x:v>No action</x:v>
      </x:c>
    </x:row>
    <x:row r="44">
      <x:c r="A44" s="505" t="n">
        <x:v>1044</x:v>
      </x:c>
      <x:c r="B44" s="506" t="str">
        <x:v>Emp44</x:v>
      </x:c>
      <x:c r="C44" s="506" t="str">
        <x:v>User44</x:v>
      </x:c>
      <x:c r="D44" s="506" t="str">
        <x:v>UK</x:v>
      </x:c>
      <x:c r="E44" s="506" t="str">
        <x:v>HR</x:v>
      </x:c>
      <x:c r="F44" s="506" t="str">
        <x:v>emp44@company.com</x:v>
      </x:c>
      <x:c r="G44" s="506" t="str">
        <x:v>emp44</x:v>
      </x:c>
      <x:c r="H44" s="506" t="str">
        <x:v>BHR44</x:v>
      </x:c>
      <x:c r="I44" s="506" t="str">
        <x:v>MAC44</x:v>
      </x:c>
      <x:c r="J44" s="506" t="str">
        <x:v>XY44</x:v>
      </x:c>
      <x:c r="K44" s="506" t="str">
        <x:v>No</x:v>
      </x:c>
      <x:c r="L44" s="506" t="str">
        <x:v>No</x:v>
      </x:c>
      <x:c r="M44" s="506" t="str">
        <x:v>Clean</x:v>
      </x:c>
      <x:c r="N44" s="506" t="str">
        <x:v>Maconomy</x:v>
      </x:c>
      <x:c r="O44" s="506" t="str">
        <x:v>Confirmed</x:v>
      </x:c>
      <x:c r="P44" s="506" t="str">
        <x:v>Validated</x:v>
      </x:c>
      <x:c r="Q44" s="506" t="str">
        <x:f>IF(OR(COUNTIF($A$2:$A$201,A44)&gt;1,COUNTIF($G$2:$G$201,G44)&gt;1,AND(F44&lt;&gt;"",COUNTIF($F$2:$F$201,F44)&gt;1),COUNTIF($H$2:$H$201,H44)&gt;1,COUNTIF($I$2:$I$201,I44)&gt;1,COUNTIF($J$2:$J$201,J44)&gt;1),"Yes","No")</x:f>
        <x:v>No</x:v>
      </x:c>
      <x:c r="R44" s="506" t="str">
        <x:f>IF(F44="","Missing",IF(AND(ISNUMBER(SEARCH("@",F44)),ISNUMBER(SEARCH(".",F44))),"Valid","Invalid"))</x:f>
        <x:v>Valid</x:v>
      </x:c>
      <x:c r="S44" s="506" t="n">
        <x:f>IF(K44="Yes",1,0)+IF(L44="Yes",1,0)+IF(M44&lt;&gt;"Clean",1,0)+IF(O44&lt;&gt;"Confirmed",1,0)+IF(P44&lt;&gt;"Validated",1,0)+IF(Q44="Yes",1,0)+IF(R44&lt;&gt;"Valid",1,0)</x:f>
        <x:v>0</x:v>
      </x:c>
      <x:c r="T44" s="517" t="n">
        <x:f>MAX(0,1-S44/7)</x:f>
        <x:v>1</x:v>
      </x:c>
      <x:c r="U44" s="506" t="str">
        <x:f>IF(AND(K44="No",L44="No",M44="Clean",O44="Confirmed",P44="Validated",Q44="No",R44="Valid"),"Ready","Hold")</x:f>
        <x:v>Ready</x:v>
      </x:c>
      <x:c r="V44" s="507" t="str">
        <x:f>IF(U44="Ready","No action",IF(K44="Yes","Resolve duplicate and confirm surviving record",IF(L44="Yes","Populate and validate email","Complete remediation and validation")))</x:f>
        <x:v>No action</x:v>
      </x:c>
    </x:row>
    <x:row r="45">
      <x:c r="A45" s="505" t="n">
        <x:v>1045</x:v>
      </x:c>
      <x:c r="B45" s="506" t="str">
        <x:v>Emp45</x:v>
      </x:c>
      <x:c r="C45" s="506" t="str">
        <x:v>User45</x:v>
      </x:c>
      <x:c r="D45" s="506" t="str">
        <x:v>USA</x:v>
      </x:c>
      <x:c r="E45" s="506" t="str">
        <x:v>Finance</x:v>
      </x:c>
      <x:c r="F45" s="506" t="str">
        <x:v>emp45@company.com</x:v>
      </x:c>
      <x:c r="G45" s="506" t="str">
        <x:v>emp45</x:v>
      </x:c>
      <x:c r="H45" s="506" t="str">
        <x:v>BHR45</x:v>
      </x:c>
      <x:c r="I45" s="506" t="str">
        <x:v>MAC45</x:v>
      </x:c>
      <x:c r="J45" s="506" t="str">
        <x:v>XY45</x:v>
      </x:c>
      <x:c r="K45" s="506" t="str">
        <x:v>No</x:v>
      </x:c>
      <x:c r="L45" s="506" t="str">
        <x:v>No</x:v>
      </x:c>
      <x:c r="M45" s="506" t="str">
        <x:v>Clean</x:v>
      </x:c>
      <x:c r="N45" s="506" t="str">
        <x:v>Xytech</x:v>
      </x:c>
      <x:c r="O45" s="506" t="str">
        <x:v>Confirmed</x:v>
      </x:c>
      <x:c r="P45" s="506" t="str">
        <x:v>Validated</x:v>
      </x:c>
      <x:c r="Q45" s="506" t="str">
        <x:f>IF(OR(COUNTIF($A$2:$A$201,A45)&gt;1,COUNTIF($G$2:$G$201,G45)&gt;1,AND(F45&lt;&gt;"",COUNTIF($F$2:$F$201,F45)&gt;1),COUNTIF($H$2:$H$201,H45)&gt;1,COUNTIF($I$2:$I$201,I45)&gt;1,COUNTIF($J$2:$J$201,J45)&gt;1),"Yes","No")</x:f>
        <x:v>No</x:v>
      </x:c>
      <x:c r="R45" s="506" t="str">
        <x:f>IF(F45="","Missing",IF(AND(ISNUMBER(SEARCH("@",F45)),ISNUMBER(SEARCH(".",F45))),"Valid","Invalid"))</x:f>
        <x:v>Valid</x:v>
      </x:c>
      <x:c r="S45" s="506" t="n">
        <x:f>IF(K45="Yes",1,0)+IF(L45="Yes",1,0)+IF(M45&lt;&gt;"Clean",1,0)+IF(O45&lt;&gt;"Confirmed",1,0)+IF(P45&lt;&gt;"Validated",1,0)+IF(Q45="Yes",1,0)+IF(R45&lt;&gt;"Valid",1,0)</x:f>
        <x:v>0</x:v>
      </x:c>
      <x:c r="T45" s="517" t="n">
        <x:f>MAX(0,1-S45/7)</x:f>
        <x:v>1</x:v>
      </x:c>
      <x:c r="U45" s="506" t="str">
        <x:f>IF(AND(K45="No",L45="No",M45="Clean",O45="Confirmed",P45="Validated",Q45="No",R45="Valid"),"Ready","Hold")</x:f>
        <x:v>Ready</x:v>
      </x:c>
      <x:c r="V45" s="507" t="str">
        <x:f>IF(U45="Ready","No action",IF(K45="Yes","Resolve duplicate and confirm surviving record",IF(L45="Yes","Populate and validate email","Complete remediation and validation")))</x:f>
        <x:v>No action</x:v>
      </x:c>
    </x:row>
    <x:row r="46">
      <x:c r="A46" s="505" t="n">
        <x:v>1046</x:v>
      </x:c>
      <x:c r="B46" s="506" t="str">
        <x:v>Emp46</x:v>
      </x:c>
      <x:c r="C46" s="506" t="str">
        <x:v>User46</x:v>
      </x:c>
      <x:c r="D46" s="506" t="str">
        <x:v>Canada</x:v>
      </x:c>
      <x:c r="E46" s="506" t="str">
        <x:v>IT</x:v>
      </x:c>
      <x:c r="F46" s="506" t="str">
        <x:v>emp46@company.com</x:v>
      </x:c>
      <x:c r="G46" s="506" t="str">
        <x:v>emp46</x:v>
      </x:c>
      <x:c r="H46" s="506" t="str">
        <x:v>BHR46</x:v>
      </x:c>
      <x:c r="I46" s="506" t="str">
        <x:v>MAC46</x:v>
      </x:c>
      <x:c r="J46" s="506" t="str">
        <x:v>XY46</x:v>
      </x:c>
      <x:c r="K46" s="506" t="str">
        <x:v>No</x:v>
      </x:c>
      <x:c r="L46" s="506" t="str">
        <x:v>No</x:v>
      </x:c>
      <x:c r="M46" s="506" t="str">
        <x:v>Clean</x:v>
      </x:c>
      <x:c r="N46" s="506" t="str">
        <x:v>BambooHR</x:v>
      </x:c>
      <x:c r="O46" s="506" t="str">
        <x:v>Confirmed</x:v>
      </x:c>
      <x:c r="P46" s="506" t="str">
        <x:v>Validated</x:v>
      </x:c>
      <x:c r="Q46" s="506" t="str">
        <x:f>IF(OR(COUNTIF($A$2:$A$201,A46)&gt;1,COUNTIF($G$2:$G$201,G46)&gt;1,AND(F46&lt;&gt;"",COUNTIF($F$2:$F$201,F46)&gt;1),COUNTIF($H$2:$H$201,H46)&gt;1,COUNTIF($I$2:$I$201,I46)&gt;1,COUNTIF($J$2:$J$201,J46)&gt;1),"Yes","No")</x:f>
        <x:v>No</x:v>
      </x:c>
      <x:c r="R46" s="506" t="str">
        <x:f>IF(F46="","Missing",IF(AND(ISNUMBER(SEARCH("@",F46)),ISNUMBER(SEARCH(".",F46))),"Valid","Invalid"))</x:f>
        <x:v>Valid</x:v>
      </x:c>
      <x:c r="S46" s="506" t="n">
        <x:f>IF(K46="Yes",1,0)+IF(L46="Yes",1,0)+IF(M46&lt;&gt;"Clean",1,0)+IF(O46&lt;&gt;"Confirmed",1,0)+IF(P46&lt;&gt;"Validated",1,0)+IF(Q46="Yes",1,0)+IF(R46&lt;&gt;"Valid",1,0)</x:f>
        <x:v>0</x:v>
      </x:c>
      <x:c r="T46" s="517" t="n">
        <x:f>MAX(0,1-S46/7)</x:f>
        <x:v>1</x:v>
      </x:c>
      <x:c r="U46" s="506" t="str">
        <x:f>IF(AND(K46="No",L46="No",M46="Clean",O46="Confirmed",P46="Validated",Q46="No",R46="Valid"),"Ready","Hold")</x:f>
        <x:v>Ready</x:v>
      </x:c>
      <x:c r="V46" s="507" t="str">
        <x:f>IF(U46="Ready","No action",IF(K46="Yes","Resolve duplicate and confirm surviving record",IF(L46="Yes","Populate and validate email","Complete remediation and validation")))</x:f>
        <x:v>No action</x:v>
      </x:c>
    </x:row>
    <x:row r="47">
      <x:c r="A47" s="505" t="n">
        <x:v>1047</x:v>
      </x:c>
      <x:c r="B47" s="506" t="str">
        <x:v>Emp47</x:v>
      </x:c>
      <x:c r="C47" s="506" t="str">
        <x:v>User47</x:v>
      </x:c>
      <x:c r="D47" s="506" t="str">
        <x:v>Germany</x:v>
      </x:c>
      <x:c r="E47" s="506" t="str">
        <x:v>Operations</x:v>
      </x:c>
      <x:c r="F47" s="506" t="str">
        <x:v>emp47@company.com</x:v>
      </x:c>
      <x:c r="G47" s="506" t="str">
        <x:v>emp47</x:v>
      </x:c>
      <x:c r="H47" s="506" t="str">
        <x:v>BHR47</x:v>
      </x:c>
      <x:c r="I47" s="506" t="str">
        <x:v>MAC47</x:v>
      </x:c>
      <x:c r="J47" s="506" t="str">
        <x:v>XY47</x:v>
      </x:c>
      <x:c r="K47" s="506" t="str">
        <x:v>No</x:v>
      </x:c>
      <x:c r="L47" s="506" t="str">
        <x:v>No</x:v>
      </x:c>
      <x:c r="M47" s="506" t="str">
        <x:v>Clean</x:v>
      </x:c>
      <x:c r="N47" s="506" t="str">
        <x:v>Active Directory</x:v>
      </x:c>
      <x:c r="O47" s="506" t="str">
        <x:v>Confirmed</x:v>
      </x:c>
      <x:c r="P47" s="506" t="str">
        <x:v>Validated</x:v>
      </x:c>
      <x:c r="Q47" s="506" t="str">
        <x:f>IF(OR(COUNTIF($A$2:$A$201,A47)&gt;1,COUNTIF($G$2:$G$201,G47)&gt;1,AND(F47&lt;&gt;"",COUNTIF($F$2:$F$201,F47)&gt;1),COUNTIF($H$2:$H$201,H47)&gt;1,COUNTIF($I$2:$I$201,I47)&gt;1,COUNTIF($J$2:$J$201,J47)&gt;1),"Yes","No")</x:f>
        <x:v>No</x:v>
      </x:c>
      <x:c r="R47" s="506" t="str">
        <x:f>IF(F47="","Missing",IF(AND(ISNUMBER(SEARCH("@",F47)),ISNUMBER(SEARCH(".",F47))),"Valid","Invalid"))</x:f>
        <x:v>Valid</x:v>
      </x:c>
      <x:c r="S47" s="506" t="n">
        <x:f>IF(K47="Yes",1,0)+IF(L47="Yes",1,0)+IF(M47&lt;&gt;"Clean",1,0)+IF(O47&lt;&gt;"Confirmed",1,0)+IF(P47&lt;&gt;"Validated",1,0)+IF(Q47="Yes",1,0)+IF(R47&lt;&gt;"Valid",1,0)</x:f>
        <x:v>0</x:v>
      </x:c>
      <x:c r="T47" s="517" t="n">
        <x:f>MAX(0,1-S47/7)</x:f>
        <x:v>1</x:v>
      </x:c>
      <x:c r="U47" s="506" t="str">
        <x:f>IF(AND(K47="No",L47="No",M47="Clean",O47="Confirmed",P47="Validated",Q47="No",R47="Valid"),"Ready","Hold")</x:f>
        <x:v>Ready</x:v>
      </x:c>
      <x:c r="V47" s="507" t="str">
        <x:f>IF(U47="Ready","No action",IF(K47="Yes","Resolve duplicate and confirm surviving record",IF(L47="Yes","Populate and validate email","Complete remediation and validation")))</x:f>
        <x:v>No action</x:v>
      </x:c>
    </x:row>
    <x:row r="48">
      <x:c r="A48" s="505" t="n">
        <x:v>1048</x:v>
      </x:c>
      <x:c r="B48" s="506" t="str">
        <x:v>Emp48</x:v>
      </x:c>
      <x:c r="C48" s="506" t="str">
        <x:v>User48</x:v>
      </x:c>
      <x:c r="D48" s="506" t="str">
        <x:v>India</x:v>
      </x:c>
      <x:c r="E48" s="506" t="str">
        <x:v>Sales</x:v>
      </x:c>
      <x:c r="F48" s="506" t="str">
        <x:v>emp48@company.com</x:v>
      </x:c>
      <x:c r="G48" s="506" t="str">
        <x:v>emp48</x:v>
      </x:c>
      <x:c r="H48" s="506" t="str">
        <x:v>BHR48</x:v>
      </x:c>
      <x:c r="I48" s="506" t="str">
        <x:v>MAC48</x:v>
      </x:c>
      <x:c r="J48" s="506" t="str">
        <x:v>XY48</x:v>
      </x:c>
      <x:c r="K48" s="506" t="str">
        <x:v>No</x:v>
      </x:c>
      <x:c r="L48" s="506" t="str">
        <x:v>No</x:v>
      </x:c>
      <x:c r="M48" s="506" t="str">
        <x:v>Clean</x:v>
      </x:c>
      <x:c r="N48" s="506" t="str">
        <x:v>Maconomy</x:v>
      </x:c>
      <x:c r="O48" s="506" t="str">
        <x:v>Confirmed</x:v>
      </x:c>
      <x:c r="P48" s="506" t="str">
        <x:v>Validated</x:v>
      </x:c>
      <x:c r="Q48" s="506" t="str">
        <x:f>IF(OR(COUNTIF($A$2:$A$201,A48)&gt;1,COUNTIF($G$2:$G$201,G48)&gt;1,AND(F48&lt;&gt;"",COUNTIF($F$2:$F$201,F48)&gt;1),COUNTIF($H$2:$H$201,H48)&gt;1,COUNTIF($I$2:$I$201,I48)&gt;1,COUNTIF($J$2:$J$201,J48)&gt;1),"Yes","No")</x:f>
        <x:v>No</x:v>
      </x:c>
      <x:c r="R48" s="506" t="str">
        <x:f>IF(F48="","Missing",IF(AND(ISNUMBER(SEARCH("@",F48)),ISNUMBER(SEARCH(".",F48))),"Valid","Invalid"))</x:f>
        <x:v>Valid</x:v>
      </x:c>
      <x:c r="S48" s="506" t="n">
        <x:f>IF(K48="Yes",1,0)+IF(L48="Yes",1,0)+IF(M48&lt;&gt;"Clean",1,0)+IF(O48&lt;&gt;"Confirmed",1,0)+IF(P48&lt;&gt;"Validated",1,0)+IF(Q48="Yes",1,0)+IF(R48&lt;&gt;"Valid",1,0)</x:f>
        <x:v>0</x:v>
      </x:c>
      <x:c r="T48" s="517" t="n">
        <x:f>MAX(0,1-S48/7)</x:f>
        <x:v>1</x:v>
      </x:c>
      <x:c r="U48" s="506" t="str">
        <x:f>IF(AND(K48="No",L48="No",M48="Clean",O48="Confirmed",P48="Validated",Q48="No",R48="Valid"),"Ready","Hold")</x:f>
        <x:v>Ready</x:v>
      </x:c>
      <x:c r="V48" s="507" t="str">
        <x:f>IF(U48="Ready","No action",IF(K48="Yes","Resolve duplicate and confirm surviving record",IF(L48="Yes","Populate and validate email","Complete remediation and validation")))</x:f>
        <x:v>No action</x:v>
      </x:c>
    </x:row>
    <x:row r="49">
      <x:c r="A49" s="505" t="n">
        <x:v>1049</x:v>
      </x:c>
      <x:c r="B49" s="506" t="str">
        <x:v>Emp49</x:v>
      </x:c>
      <x:c r="C49" s="506" t="str">
        <x:v>User49</x:v>
      </x:c>
      <x:c r="D49" s="506" t="str">
        <x:v>Australia</x:v>
      </x:c>
      <x:c r="E49" s="506" t="str">
        <x:v>Marketing</x:v>
      </x:c>
      <x:c r="F49" s="506" t="str">
        <x:v>emp49@company.com</x:v>
      </x:c>
      <x:c r="G49" s="506" t="str">
        <x:v>emp49</x:v>
      </x:c>
      <x:c r="H49" s="506" t="str">
        <x:v>BHR49</x:v>
      </x:c>
      <x:c r="I49" s="506" t="str">
        <x:v>MAC49</x:v>
      </x:c>
      <x:c r="J49" s="506" t="str">
        <x:v>XY49</x:v>
      </x:c>
      <x:c r="K49" s="506" t="str">
        <x:v>No</x:v>
      </x:c>
      <x:c r="L49" s="506" t="str">
        <x:v>No</x:v>
      </x:c>
      <x:c r="M49" s="506" t="str">
        <x:v>Clean</x:v>
      </x:c>
      <x:c r="N49" s="506" t="str">
        <x:v>Xytech</x:v>
      </x:c>
      <x:c r="O49" s="506" t="str">
        <x:v>Confirmed</x:v>
      </x:c>
      <x:c r="P49" s="506" t="str">
        <x:v>Validated</x:v>
      </x:c>
      <x:c r="Q49" s="506" t="str">
        <x:f>IF(OR(COUNTIF($A$2:$A$201,A49)&gt;1,COUNTIF($G$2:$G$201,G49)&gt;1,AND(F49&lt;&gt;"",COUNTIF($F$2:$F$201,F49)&gt;1),COUNTIF($H$2:$H$201,H49)&gt;1,COUNTIF($I$2:$I$201,I49)&gt;1,COUNTIF($J$2:$J$201,J49)&gt;1),"Yes","No")</x:f>
        <x:v>No</x:v>
      </x:c>
      <x:c r="R49" s="506" t="str">
        <x:f>IF(F49="","Missing",IF(AND(ISNUMBER(SEARCH("@",F49)),ISNUMBER(SEARCH(".",F49))),"Valid","Invalid"))</x:f>
        <x:v>Valid</x:v>
      </x:c>
      <x:c r="S49" s="506" t="n">
        <x:f>IF(K49="Yes",1,0)+IF(L49="Yes",1,0)+IF(M49&lt;&gt;"Clean",1,0)+IF(O49&lt;&gt;"Confirmed",1,0)+IF(P49&lt;&gt;"Validated",1,0)+IF(Q49="Yes",1,0)+IF(R49&lt;&gt;"Valid",1,0)</x:f>
        <x:v>0</x:v>
      </x:c>
      <x:c r="T49" s="517" t="n">
        <x:f>MAX(0,1-S49/7)</x:f>
        <x:v>1</x:v>
      </x:c>
      <x:c r="U49" s="506" t="str">
        <x:f>IF(AND(K49="No",L49="No",M49="Clean",O49="Confirmed",P49="Validated",Q49="No",R49="Valid"),"Ready","Hold")</x:f>
        <x:v>Ready</x:v>
      </x:c>
      <x:c r="V49" s="507" t="str">
        <x:f>IF(U49="Ready","No action",IF(K49="Yes","Resolve duplicate and confirm surviving record",IF(L49="Yes","Populate and validate email","Complete remediation and validation")))</x:f>
        <x:v>No action</x:v>
      </x:c>
    </x:row>
    <x:row r="50">
      <x:c r="A50" s="505" t="n">
        <x:v>1050</x:v>
      </x:c>
      <x:c r="B50" s="506" t="str">
        <x:v>Emp50</x:v>
      </x:c>
      <x:c r="C50" s="506" t="str">
        <x:v>User50</x:v>
      </x:c>
      <x:c r="D50" s="506" t="str">
        <x:v>UAE</x:v>
      </x:c>
      <x:c r="E50" s="506" t="str">
        <x:v>HR</x:v>
      </x:c>
      <x:c r="F50" s="506" t="str">
        <x:v>emp50@company.com</x:v>
      </x:c>
      <x:c r="G50" s="506" t="str">
        <x:v>emp50</x:v>
      </x:c>
      <x:c r="H50" s="506" t="str">
        <x:v>BHR50</x:v>
      </x:c>
      <x:c r="I50" s="506" t="str">
        <x:v>MAC50</x:v>
      </x:c>
      <x:c r="J50" s="506" t="str">
        <x:v>XY50</x:v>
      </x:c>
      <x:c r="K50" s="506" t="str">
        <x:v>No</x:v>
      </x:c>
      <x:c r="L50" s="506" t="str">
        <x:v>No</x:v>
      </x:c>
      <x:c r="M50" s="506" t="str">
        <x:v>Clean</x:v>
      </x:c>
      <x:c r="N50" s="506" t="str">
        <x:v>BambooHR</x:v>
      </x:c>
      <x:c r="O50" s="506" t="str">
        <x:v>Confirmed</x:v>
      </x:c>
      <x:c r="P50" s="506" t="str">
        <x:v>Validated</x:v>
      </x:c>
      <x:c r="Q50" s="506" t="str">
        <x:f>IF(OR(COUNTIF($A$2:$A$201,A50)&gt;1,COUNTIF($G$2:$G$201,G50)&gt;1,AND(F50&lt;&gt;"",COUNTIF($F$2:$F$201,F50)&gt;1),COUNTIF($H$2:$H$201,H50)&gt;1,COUNTIF($I$2:$I$201,I50)&gt;1,COUNTIF($J$2:$J$201,J50)&gt;1),"Yes","No")</x:f>
        <x:v>No</x:v>
      </x:c>
      <x:c r="R50" s="506" t="str">
        <x:f>IF(F50="","Missing",IF(AND(ISNUMBER(SEARCH("@",F50)),ISNUMBER(SEARCH(".",F50))),"Valid","Invalid"))</x:f>
        <x:v>Valid</x:v>
      </x:c>
      <x:c r="S50" s="506" t="n">
        <x:f>IF(K50="Yes",1,0)+IF(L50="Yes",1,0)+IF(M50&lt;&gt;"Clean",1,0)+IF(O50&lt;&gt;"Confirmed",1,0)+IF(P50&lt;&gt;"Validated",1,0)+IF(Q50="Yes",1,0)+IF(R50&lt;&gt;"Valid",1,0)</x:f>
        <x:v>0</x:v>
      </x:c>
      <x:c r="T50" s="517" t="n">
        <x:f>MAX(0,1-S50/7)</x:f>
        <x:v>1</x:v>
      </x:c>
      <x:c r="U50" s="506" t="str">
        <x:f>IF(AND(K50="No",L50="No",M50="Clean",O50="Confirmed",P50="Validated",Q50="No",R50="Valid"),"Ready","Hold")</x:f>
        <x:v>Ready</x:v>
      </x:c>
      <x:c r="V50" s="507" t="str">
        <x:f>IF(U50="Ready","No action",IF(K50="Yes","Resolve duplicate and confirm surviving record",IF(L50="Yes","Populate and validate email","Complete remediation and validation")))</x:f>
        <x:v>No action</x:v>
      </x:c>
    </x:row>
    <x:row r="51">
      <x:c r="A51" s="505" t="n">
        <x:v>1051</x:v>
      </x:c>
      <x:c r="B51" s="506" t="str">
        <x:v>Emp51</x:v>
      </x:c>
      <x:c r="C51" s="506" t="str">
        <x:v>User51</x:v>
      </x:c>
      <x:c r="D51" s="506" t="str">
        <x:v>France</x:v>
      </x:c>
      <x:c r="E51" s="506" t="str">
        <x:v>Finance</x:v>
      </x:c>
      <x:c r="F51" s="506" t="str">
        <x:v>emp51@company.com</x:v>
      </x:c>
      <x:c r="G51" s="506" t="str">
        <x:v>emp51</x:v>
      </x:c>
      <x:c r="H51" s="506" t="str">
        <x:v>BHR51</x:v>
      </x:c>
      <x:c r="I51" s="506" t="str">
        <x:v>MAC51</x:v>
      </x:c>
      <x:c r="J51" s="506" t="str">
        <x:v>XY51</x:v>
      </x:c>
      <x:c r="K51" s="506" t="str">
        <x:v>No</x:v>
      </x:c>
      <x:c r="L51" s="506" t="str">
        <x:v>No</x:v>
      </x:c>
      <x:c r="M51" s="506" t="str">
        <x:v>Clean</x:v>
      </x:c>
      <x:c r="N51" s="506" t="str">
        <x:v>Active Directory</x:v>
      </x:c>
      <x:c r="O51" s="506" t="str">
        <x:v>Confirmed</x:v>
      </x:c>
      <x:c r="P51" s="506" t="str">
        <x:v>Validated</x:v>
      </x:c>
      <x:c r="Q51" s="506" t="str">
        <x:f>IF(OR(COUNTIF($A$2:$A$201,A51)&gt;1,COUNTIF($G$2:$G$201,G51)&gt;1,AND(F51&lt;&gt;"",COUNTIF($F$2:$F$201,F51)&gt;1),COUNTIF($H$2:$H$201,H51)&gt;1,COUNTIF($I$2:$I$201,I51)&gt;1,COUNTIF($J$2:$J$201,J51)&gt;1),"Yes","No")</x:f>
        <x:v>No</x:v>
      </x:c>
      <x:c r="R51" s="506" t="str">
        <x:f>IF(F51="","Missing",IF(AND(ISNUMBER(SEARCH("@",F51)),ISNUMBER(SEARCH(".",F51))),"Valid","Invalid"))</x:f>
        <x:v>Valid</x:v>
      </x:c>
      <x:c r="S51" s="506" t="n">
        <x:f>IF(K51="Yes",1,0)+IF(L51="Yes",1,0)+IF(M51&lt;&gt;"Clean",1,0)+IF(O51&lt;&gt;"Confirmed",1,0)+IF(P51&lt;&gt;"Validated",1,0)+IF(Q51="Yes",1,0)+IF(R51&lt;&gt;"Valid",1,0)</x:f>
        <x:v>0</x:v>
      </x:c>
      <x:c r="T51" s="517" t="n">
        <x:f>MAX(0,1-S51/7)</x:f>
        <x:v>1</x:v>
      </x:c>
      <x:c r="U51" s="506" t="str">
        <x:f>IF(AND(K51="No",L51="No",M51="Clean",O51="Confirmed",P51="Validated",Q51="No",R51="Valid"),"Ready","Hold")</x:f>
        <x:v>Ready</x:v>
      </x:c>
      <x:c r="V51" s="507" t="str">
        <x:f>IF(U51="Ready","No action",IF(K51="Yes","Resolve duplicate and confirm surviving record",IF(L51="Yes","Populate and validate email","Complete remediation and validation")))</x:f>
        <x:v>No action</x:v>
      </x:c>
    </x:row>
    <x:row r="52">
      <x:c r="A52" s="505" t="n">
        <x:v>1052</x:v>
      </x:c>
      <x:c r="B52" s="506" t="str">
        <x:v>Emp52</x:v>
      </x:c>
      <x:c r="C52" s="506" t="str">
        <x:v>User52</x:v>
      </x:c>
      <x:c r="D52" s="506" t="str">
        <x:v>Nigeria</x:v>
      </x:c>
      <x:c r="E52" s="506" t="str">
        <x:v>IT</x:v>
      </x:c>
      <x:c r="F52" s="506" t="str">
        <x:v>emp52@company.com</x:v>
      </x:c>
      <x:c r="G52" s="506" t="str">
        <x:v>emp52</x:v>
      </x:c>
      <x:c r="H52" s="506" t="str">
        <x:v>BHR52</x:v>
      </x:c>
      <x:c r="I52" s="506" t="str">
        <x:v>MAC52</x:v>
      </x:c>
      <x:c r="J52" s="506" t="str">
        <x:v>XY52</x:v>
      </x:c>
      <x:c r="K52" s="506" t="str">
        <x:v>No</x:v>
      </x:c>
      <x:c r="L52" s="506" t="str">
        <x:v>No</x:v>
      </x:c>
      <x:c r="M52" s="506" t="str">
        <x:v>Clean</x:v>
      </x:c>
      <x:c r="N52" s="506" t="str">
        <x:v>Maconomy</x:v>
      </x:c>
      <x:c r="O52" s="506" t="str">
        <x:v>Confirmed</x:v>
      </x:c>
      <x:c r="P52" s="506" t="str">
        <x:v>Validated</x:v>
      </x:c>
      <x:c r="Q52" s="506" t="str">
        <x:f>IF(OR(COUNTIF($A$2:$A$201,A52)&gt;1,COUNTIF($G$2:$G$201,G52)&gt;1,AND(F52&lt;&gt;"",COUNTIF($F$2:$F$201,F52)&gt;1),COUNTIF($H$2:$H$201,H52)&gt;1,COUNTIF($I$2:$I$201,I52)&gt;1,COUNTIF($J$2:$J$201,J52)&gt;1),"Yes","No")</x:f>
        <x:v>No</x:v>
      </x:c>
      <x:c r="R52" s="506" t="str">
        <x:f>IF(F52="","Missing",IF(AND(ISNUMBER(SEARCH("@",F52)),ISNUMBER(SEARCH(".",F52))),"Valid","Invalid"))</x:f>
        <x:v>Valid</x:v>
      </x:c>
      <x:c r="S52" s="506" t="n">
        <x:f>IF(K52="Yes",1,0)+IF(L52="Yes",1,0)+IF(M52&lt;&gt;"Clean",1,0)+IF(O52&lt;&gt;"Confirmed",1,0)+IF(P52&lt;&gt;"Validated",1,0)+IF(Q52="Yes",1,0)+IF(R52&lt;&gt;"Valid",1,0)</x:f>
        <x:v>0</x:v>
      </x:c>
      <x:c r="T52" s="517" t="n">
        <x:f>MAX(0,1-S52/7)</x:f>
        <x:v>1</x:v>
      </x:c>
      <x:c r="U52" s="506" t="str">
        <x:f>IF(AND(K52="No",L52="No",M52="Clean",O52="Confirmed",P52="Validated",Q52="No",R52="Valid"),"Ready","Hold")</x:f>
        <x:v>Ready</x:v>
      </x:c>
      <x:c r="V52" s="507" t="str">
        <x:f>IF(U52="Ready","No action",IF(K52="Yes","Resolve duplicate and confirm surviving record",IF(L52="Yes","Populate and validate email","Complete remediation and validation")))</x:f>
        <x:v>No action</x:v>
      </x:c>
    </x:row>
    <x:row r="53">
      <x:c r="A53" s="505" t="n">
        <x:v>1053</x:v>
      </x:c>
      <x:c r="B53" s="506" t="str">
        <x:v>Emp53</x:v>
      </x:c>
      <x:c r="C53" s="506" t="str">
        <x:v>User53</x:v>
      </x:c>
      <x:c r="D53" s="506" t="str">
        <x:v>Gambia</x:v>
      </x:c>
      <x:c r="E53" s="506" t="str">
        <x:v>Operations</x:v>
      </x:c>
      <x:c r="F53" s="506" t="str">
        <x:v>emp53@company.com</x:v>
      </x:c>
      <x:c r="G53" s="506" t="str">
        <x:v>emp53</x:v>
      </x:c>
      <x:c r="H53" s="506" t="str">
        <x:v>BHR53</x:v>
      </x:c>
      <x:c r="I53" s="506" t="str">
        <x:v>MAC53</x:v>
      </x:c>
      <x:c r="J53" s="506" t="str">
        <x:v>XY53</x:v>
      </x:c>
      <x:c r="K53" s="506" t="str">
        <x:v>No</x:v>
      </x:c>
      <x:c r="L53" s="506" t="str">
        <x:v>No</x:v>
      </x:c>
      <x:c r="M53" s="506" t="str">
        <x:v>Clean</x:v>
      </x:c>
      <x:c r="N53" s="506" t="str">
        <x:v>Xytech</x:v>
      </x:c>
      <x:c r="O53" s="506" t="str">
        <x:v>Confirmed</x:v>
      </x:c>
      <x:c r="P53" s="506" t="str">
        <x:v>Validated</x:v>
      </x:c>
      <x:c r="Q53" s="506" t="str">
        <x:f>IF(OR(COUNTIF($A$2:$A$201,A53)&gt;1,COUNTIF($G$2:$G$201,G53)&gt;1,AND(F53&lt;&gt;"",COUNTIF($F$2:$F$201,F53)&gt;1),COUNTIF($H$2:$H$201,H53)&gt;1,COUNTIF($I$2:$I$201,I53)&gt;1,COUNTIF($J$2:$J$201,J53)&gt;1),"Yes","No")</x:f>
        <x:v>No</x:v>
      </x:c>
      <x:c r="R53" s="506" t="str">
        <x:f>IF(F53="","Missing",IF(AND(ISNUMBER(SEARCH("@",F53)),ISNUMBER(SEARCH(".",F53))),"Valid","Invalid"))</x:f>
        <x:v>Valid</x:v>
      </x:c>
      <x:c r="S53" s="506" t="n">
        <x:f>IF(K53="Yes",1,0)+IF(L53="Yes",1,0)+IF(M53&lt;&gt;"Clean",1,0)+IF(O53&lt;&gt;"Confirmed",1,0)+IF(P53&lt;&gt;"Validated",1,0)+IF(Q53="Yes",1,0)+IF(R53&lt;&gt;"Valid",1,0)</x:f>
        <x:v>0</x:v>
      </x:c>
      <x:c r="T53" s="517" t="n">
        <x:f>MAX(0,1-S53/7)</x:f>
        <x:v>1</x:v>
      </x:c>
      <x:c r="U53" s="506" t="str">
        <x:f>IF(AND(K53="No",L53="No",M53="Clean",O53="Confirmed",P53="Validated",Q53="No",R53="Valid"),"Ready","Hold")</x:f>
        <x:v>Ready</x:v>
      </x:c>
      <x:c r="V53" s="507" t="str">
        <x:f>IF(U53="Ready","No action",IF(K53="Yes","Resolve duplicate and confirm surviving record",IF(L53="Yes","Populate and validate email","Complete remediation and validation")))</x:f>
        <x:v>No action</x:v>
      </x:c>
    </x:row>
    <x:row r="54">
      <x:c r="A54" s="505" t="n">
        <x:v>1054</x:v>
      </x:c>
      <x:c r="B54" s="506" t="str">
        <x:v>Emp54</x:v>
      </x:c>
      <x:c r="C54" s="506" t="str">
        <x:v>User54</x:v>
      </x:c>
      <x:c r="D54" s="506" t="str">
        <x:v>Spain</x:v>
      </x:c>
      <x:c r="E54" s="506" t="str">
        <x:v>Sales</x:v>
      </x:c>
      <x:c r="F54" s="506" t="str">
        <x:v>emp54@company.com</x:v>
      </x:c>
      <x:c r="G54" s="506" t="str">
        <x:v>emp54</x:v>
      </x:c>
      <x:c r="H54" s="506" t="str">
        <x:v>BHR54</x:v>
      </x:c>
      <x:c r="I54" s="506" t="str">
        <x:v>MAC54</x:v>
      </x:c>
      <x:c r="J54" s="506" t="str">
        <x:v>XY54</x:v>
      </x:c>
      <x:c r="K54" s="506" t="str">
        <x:v>No</x:v>
      </x:c>
      <x:c r="L54" s="506" t="str">
        <x:v>No</x:v>
      </x:c>
      <x:c r="M54" s="506" t="str">
        <x:v>Clean</x:v>
      </x:c>
      <x:c r="N54" s="506" t="str">
        <x:v>BambooHR</x:v>
      </x:c>
      <x:c r="O54" s="506" t="str">
        <x:v>Confirmed</x:v>
      </x:c>
      <x:c r="P54" s="506" t="str">
        <x:v>Validated</x:v>
      </x:c>
      <x:c r="Q54" s="506" t="str">
        <x:f>IF(OR(COUNTIF($A$2:$A$201,A54)&gt;1,COUNTIF($G$2:$G$201,G54)&gt;1,AND(F54&lt;&gt;"",COUNTIF($F$2:$F$201,F54)&gt;1),COUNTIF($H$2:$H$201,H54)&gt;1,COUNTIF($I$2:$I$201,I54)&gt;1,COUNTIF($J$2:$J$201,J54)&gt;1),"Yes","No")</x:f>
        <x:v>No</x:v>
      </x:c>
      <x:c r="R54" s="506" t="str">
        <x:f>IF(F54="","Missing",IF(AND(ISNUMBER(SEARCH("@",F54)),ISNUMBER(SEARCH(".",F54))),"Valid","Invalid"))</x:f>
        <x:v>Valid</x:v>
      </x:c>
      <x:c r="S54" s="506" t="n">
        <x:f>IF(K54="Yes",1,0)+IF(L54="Yes",1,0)+IF(M54&lt;&gt;"Clean",1,0)+IF(O54&lt;&gt;"Confirmed",1,0)+IF(P54&lt;&gt;"Validated",1,0)+IF(Q54="Yes",1,0)+IF(R54&lt;&gt;"Valid",1,0)</x:f>
        <x:v>0</x:v>
      </x:c>
      <x:c r="T54" s="517" t="n">
        <x:f>MAX(0,1-S54/7)</x:f>
        <x:v>1</x:v>
      </x:c>
      <x:c r="U54" s="506" t="str">
        <x:f>IF(AND(K54="No",L54="No",M54="Clean",O54="Confirmed",P54="Validated",Q54="No",R54="Valid"),"Ready","Hold")</x:f>
        <x:v>Ready</x:v>
      </x:c>
      <x:c r="V54" s="507" t="str">
        <x:f>IF(U54="Ready","No action",IF(K54="Yes","Resolve duplicate and confirm surviving record",IF(L54="Yes","Populate and validate email","Complete remediation and validation")))</x:f>
        <x:v>No action</x:v>
      </x:c>
    </x:row>
    <x:row r="55">
      <x:c r="A55" s="505" t="n">
        <x:v>1055</x:v>
      </x:c>
      <x:c r="B55" s="506" t="str">
        <x:v>Emp55</x:v>
      </x:c>
      <x:c r="C55" s="506" t="str">
        <x:v>User55</x:v>
      </x:c>
      <x:c r="D55" s="506" t="str">
        <x:v>Netherlands</x:v>
      </x:c>
      <x:c r="E55" s="506" t="str">
        <x:v>Marketing</x:v>
      </x:c>
      <x:c r="F55" s="506" t="str">
        <x:v>emp55@company.com</x:v>
      </x:c>
      <x:c r="G55" s="506" t="str">
        <x:v>emp55</x:v>
      </x:c>
      <x:c r="H55" s="506" t="str">
        <x:v>BHR55</x:v>
      </x:c>
      <x:c r="I55" s="506" t="str">
        <x:v>MAC55</x:v>
      </x:c>
      <x:c r="J55" s="506" t="str">
        <x:v>XY55</x:v>
      </x:c>
      <x:c r="K55" s="506" t="str">
        <x:v>No</x:v>
      </x:c>
      <x:c r="L55" s="506" t="str">
        <x:v>No</x:v>
      </x:c>
      <x:c r="M55" s="506" t="str">
        <x:v>Clean</x:v>
      </x:c>
      <x:c r="N55" s="506" t="str">
        <x:v>Active Directory</x:v>
      </x:c>
      <x:c r="O55" s="506" t="str">
        <x:v>Confirmed</x:v>
      </x:c>
      <x:c r="P55" s="506" t="str">
        <x:v>Validated</x:v>
      </x:c>
      <x:c r="Q55" s="506" t="str">
        <x:f>IF(OR(COUNTIF($A$2:$A$201,A55)&gt;1,COUNTIF($G$2:$G$201,G55)&gt;1,AND(F55&lt;&gt;"",COUNTIF($F$2:$F$201,F55)&gt;1),COUNTIF($H$2:$H$201,H55)&gt;1,COUNTIF($I$2:$I$201,I55)&gt;1,COUNTIF($J$2:$J$201,J55)&gt;1),"Yes","No")</x:f>
        <x:v>No</x:v>
      </x:c>
      <x:c r="R55" s="506" t="str">
        <x:f>IF(F55="","Missing",IF(AND(ISNUMBER(SEARCH("@",F55)),ISNUMBER(SEARCH(".",F55))),"Valid","Invalid"))</x:f>
        <x:v>Valid</x:v>
      </x:c>
      <x:c r="S55" s="506" t="n">
        <x:f>IF(K55="Yes",1,0)+IF(L55="Yes",1,0)+IF(M55&lt;&gt;"Clean",1,0)+IF(O55&lt;&gt;"Confirmed",1,0)+IF(P55&lt;&gt;"Validated",1,0)+IF(Q55="Yes",1,0)+IF(R55&lt;&gt;"Valid",1,0)</x:f>
        <x:v>0</x:v>
      </x:c>
      <x:c r="T55" s="517" t="n">
        <x:f>MAX(0,1-S55/7)</x:f>
        <x:v>1</x:v>
      </x:c>
      <x:c r="U55" s="506" t="str">
        <x:f>IF(AND(K55="No",L55="No",M55="Clean",O55="Confirmed",P55="Validated",Q55="No",R55="Valid"),"Ready","Hold")</x:f>
        <x:v>Ready</x:v>
      </x:c>
      <x:c r="V55" s="507" t="str">
        <x:f>IF(U55="Ready","No action",IF(K55="Yes","Resolve duplicate and confirm surviving record",IF(L55="Yes","Populate and validate email","Complete remediation and validation")))</x:f>
        <x:v>No action</x:v>
      </x:c>
    </x:row>
    <x:row r="56">
      <x:c r="A56" s="505" t="n">
        <x:v>1056</x:v>
      </x:c>
      <x:c r="B56" s="506" t="str">
        <x:v>Emp56</x:v>
      </x:c>
      <x:c r="C56" s="506" t="str">
        <x:v>User56</x:v>
      </x:c>
      <x:c r="D56" s="506" t="str">
        <x:v>Singapore</x:v>
      </x:c>
      <x:c r="E56" s="506" t="str">
        <x:v>HR</x:v>
      </x:c>
      <x:c r="F56" s="506" t="str">
        <x:v>emp56@company.com</x:v>
      </x:c>
      <x:c r="G56" s="506" t="str">
        <x:v>emp56</x:v>
      </x:c>
      <x:c r="H56" s="506" t="str">
        <x:v>BHR56</x:v>
      </x:c>
      <x:c r="I56" s="506" t="str">
        <x:v>MAC56</x:v>
      </x:c>
      <x:c r="J56" s="506" t="str">
        <x:v>XY56</x:v>
      </x:c>
      <x:c r="K56" s="506" t="str">
        <x:v>No</x:v>
      </x:c>
      <x:c r="L56" s="506" t="str">
        <x:v>No</x:v>
      </x:c>
      <x:c r="M56" s="506" t="str">
        <x:v>Clean</x:v>
      </x:c>
      <x:c r="N56" s="506" t="str">
        <x:v>Maconomy</x:v>
      </x:c>
      <x:c r="O56" s="506" t="str">
        <x:v>Confirmed</x:v>
      </x:c>
      <x:c r="P56" s="506" t="str">
        <x:v>Validated</x:v>
      </x:c>
      <x:c r="Q56" s="506" t="str">
        <x:f>IF(OR(COUNTIF($A$2:$A$201,A56)&gt;1,COUNTIF($G$2:$G$201,G56)&gt;1,AND(F56&lt;&gt;"",COUNTIF($F$2:$F$201,F56)&gt;1),COUNTIF($H$2:$H$201,H56)&gt;1,COUNTIF($I$2:$I$201,I56)&gt;1,COUNTIF($J$2:$J$201,J56)&gt;1),"Yes","No")</x:f>
        <x:v>No</x:v>
      </x:c>
      <x:c r="R56" s="506" t="str">
        <x:f>IF(F56="","Missing",IF(AND(ISNUMBER(SEARCH("@",F56)),ISNUMBER(SEARCH(".",F56))),"Valid","Invalid"))</x:f>
        <x:v>Valid</x:v>
      </x:c>
      <x:c r="S56" s="506" t="n">
        <x:f>IF(K56="Yes",1,0)+IF(L56="Yes",1,0)+IF(M56&lt;&gt;"Clean",1,0)+IF(O56&lt;&gt;"Confirmed",1,0)+IF(P56&lt;&gt;"Validated",1,0)+IF(Q56="Yes",1,0)+IF(R56&lt;&gt;"Valid",1,0)</x:f>
        <x:v>0</x:v>
      </x:c>
      <x:c r="T56" s="517" t="n">
        <x:f>MAX(0,1-S56/7)</x:f>
        <x:v>1</x:v>
      </x:c>
      <x:c r="U56" s="506" t="str">
        <x:f>IF(AND(K56="No",L56="No",M56="Clean",O56="Confirmed",P56="Validated",Q56="No",R56="Valid"),"Ready","Hold")</x:f>
        <x:v>Ready</x:v>
      </x:c>
      <x:c r="V56" s="507" t="str">
        <x:f>IF(U56="Ready","No action",IF(K56="Yes","Resolve duplicate and confirm surviving record",IF(L56="Yes","Populate and validate email","Complete remediation and validation")))</x:f>
        <x:v>No action</x:v>
      </x:c>
    </x:row>
    <x:row r="57">
      <x:c r="A57" s="505" t="n">
        <x:v>1057</x:v>
      </x:c>
      <x:c r="B57" s="506" t="str">
        <x:v>Emp57</x:v>
      </x:c>
      <x:c r="C57" s="506" t="str">
        <x:v>User57</x:v>
      </x:c>
      <x:c r="D57" s="506" t="str">
        <x:v>Brazil</x:v>
      </x:c>
      <x:c r="E57" s="506" t="str">
        <x:v>Finance</x:v>
      </x:c>
      <x:c r="F57" s="506" t="str">
        <x:v>emp57@company.com</x:v>
      </x:c>
      <x:c r="G57" s="506" t="str">
        <x:v>emp57</x:v>
      </x:c>
      <x:c r="H57" s="506" t="str">
        <x:v>BHR57</x:v>
      </x:c>
      <x:c r="I57" s="506" t="str">
        <x:v>MAC57</x:v>
      </x:c>
      <x:c r="J57" s="506" t="str">
        <x:v>XY57</x:v>
      </x:c>
      <x:c r="K57" s="506" t="str">
        <x:v>No</x:v>
      </x:c>
      <x:c r="L57" s="506" t="str">
        <x:v>No</x:v>
      </x:c>
      <x:c r="M57" s="506" t="str">
        <x:v>Clean</x:v>
      </x:c>
      <x:c r="N57" s="506" t="str">
        <x:v>Xytech</x:v>
      </x:c>
      <x:c r="O57" s="506" t="str">
        <x:v>Confirmed</x:v>
      </x:c>
      <x:c r="P57" s="506" t="str">
        <x:v>Validated</x:v>
      </x:c>
      <x:c r="Q57" s="506" t="str">
        <x:f>IF(OR(COUNTIF($A$2:$A$201,A57)&gt;1,COUNTIF($G$2:$G$201,G57)&gt;1,AND(F57&lt;&gt;"",COUNTIF($F$2:$F$201,F57)&gt;1),COUNTIF($H$2:$H$201,H57)&gt;1,COUNTIF($I$2:$I$201,I57)&gt;1,COUNTIF($J$2:$J$201,J57)&gt;1),"Yes","No")</x:f>
        <x:v>No</x:v>
      </x:c>
      <x:c r="R57" s="506" t="str">
        <x:f>IF(F57="","Missing",IF(AND(ISNUMBER(SEARCH("@",F57)),ISNUMBER(SEARCH(".",F57))),"Valid","Invalid"))</x:f>
        <x:v>Valid</x:v>
      </x:c>
      <x:c r="S57" s="506" t="n">
        <x:f>IF(K57="Yes",1,0)+IF(L57="Yes",1,0)+IF(M57&lt;&gt;"Clean",1,0)+IF(O57&lt;&gt;"Confirmed",1,0)+IF(P57&lt;&gt;"Validated",1,0)+IF(Q57="Yes",1,0)+IF(R57&lt;&gt;"Valid",1,0)</x:f>
        <x:v>0</x:v>
      </x:c>
      <x:c r="T57" s="517" t="n">
        <x:f>MAX(0,1-S57/7)</x:f>
        <x:v>1</x:v>
      </x:c>
      <x:c r="U57" s="506" t="str">
        <x:f>IF(AND(K57="No",L57="No",M57="Clean",O57="Confirmed",P57="Validated",Q57="No",R57="Valid"),"Ready","Hold")</x:f>
        <x:v>Ready</x:v>
      </x:c>
      <x:c r="V57" s="507" t="str">
        <x:f>IF(U57="Ready","No action",IF(K57="Yes","Resolve duplicate and confirm surviving record",IF(L57="Yes","Populate and validate email","Complete remediation and validation")))</x:f>
        <x:v>No action</x:v>
      </x:c>
    </x:row>
    <x:row r="58">
      <x:c r="A58" s="505" t="n">
        <x:v>1058</x:v>
      </x:c>
      <x:c r="B58" s="506" t="str">
        <x:v>Emp58</x:v>
      </x:c>
      <x:c r="C58" s="506" t="str">
        <x:v>User58</x:v>
      </x:c>
      <x:c r="D58" s="506" t="str">
        <x:v>UK</x:v>
      </x:c>
      <x:c r="E58" s="506" t="str">
        <x:v>IT</x:v>
      </x:c>
      <x:c r="F58" s="506"/>
      <x:c r="G58" s="506" t="str">
        <x:v>emp58</x:v>
      </x:c>
      <x:c r="H58" s="506" t="str">
        <x:v>BHR58</x:v>
      </x:c>
      <x:c r="I58" s="506" t="str">
        <x:v>MAC58</x:v>
      </x:c>
      <x:c r="J58" s="506" t="str">
        <x:v>XY58</x:v>
      </x:c>
      <x:c r="K58" s="506" t="str">
        <x:v>No</x:v>
      </x:c>
      <x:c r="L58" s="506" t="str">
        <x:v>Yes</x:v>
      </x:c>
      <x:c r="M58" s="506" t="str">
        <x:v>Issue</x:v>
      </x:c>
      <x:c r="N58" s="506" t="str">
        <x:v>BambooHR</x:v>
      </x:c>
      <x:c r="O58" s="506" t="str">
        <x:v>Pending</x:v>
      </x:c>
      <x:c r="P58" s="506" t="str">
        <x:v>Pending</x:v>
      </x:c>
      <x:c r="Q58" s="506" t="str">
        <x:f>IF(OR(COUNTIF($A$2:$A$201,A58)&gt;1,COUNTIF($G$2:$G$201,G58)&gt;1,AND(F58&lt;&gt;"",COUNTIF($F$2:$F$201,F58)&gt;1),COUNTIF($H$2:$H$201,H58)&gt;1,COUNTIF($I$2:$I$201,I58)&gt;1,COUNTIF($J$2:$J$201,J58)&gt;1),"Yes","No")</x:f>
        <x:v>No</x:v>
      </x:c>
      <x:c r="R58" s="506" t="str">
        <x:f>IF(F58="","Missing",IF(AND(ISNUMBER(SEARCH("@",F58)),ISNUMBER(SEARCH(".",F58))),"Valid","Invalid"))</x:f>
        <x:v>Missing</x:v>
      </x:c>
      <x:c r="S58" s="506" t="n">
        <x:f>IF(K58="Yes",1,0)+IF(L58="Yes",1,0)+IF(M58&lt;&gt;"Clean",1,0)+IF(O58&lt;&gt;"Confirmed",1,0)+IF(P58&lt;&gt;"Validated",1,0)+IF(Q58="Yes",1,0)+IF(R58&lt;&gt;"Valid",1,0)</x:f>
        <x:v>5</x:v>
      </x:c>
      <x:c r="T58" s="517" t="n">
        <x:f>MAX(0,1-S58/7)</x:f>
        <x:v>0.2857142857142857</x:v>
      </x:c>
      <x:c r="U58" s="506" t="str">
        <x:f>IF(AND(K58="No",L58="No",M58="Clean",O58="Confirmed",P58="Validated",Q58="No",R58="Valid"),"Ready","Hold")</x:f>
        <x:v>Hold</x:v>
      </x:c>
      <x:c r="V58" s="507" t="str">
        <x:f>IF(U58="Ready","No action",IF(K58="Yes","Resolve duplicate and confirm surviving record",IF(L58="Yes","Populate and validate email","Complete remediation and validation")))</x:f>
        <x:v>Populate and validate email</x:v>
      </x:c>
    </x:row>
    <x:row r="59">
      <x:c r="A59" s="505" t="n">
        <x:v>1059</x:v>
      </x:c>
      <x:c r="B59" s="506" t="str">
        <x:v>Emp59</x:v>
      </x:c>
      <x:c r="C59" s="506" t="str">
        <x:v>User59</x:v>
      </x:c>
      <x:c r="D59" s="506" t="str">
        <x:v>USA</x:v>
      </x:c>
      <x:c r="E59" s="506" t="str">
        <x:v>Operations</x:v>
      </x:c>
      <x:c r="F59" s="506" t="str">
        <x:v>emp59@company.com</x:v>
      </x:c>
      <x:c r="G59" s="506" t="str">
        <x:v>emp59</x:v>
      </x:c>
      <x:c r="H59" s="506" t="str">
        <x:v>BHR59</x:v>
      </x:c>
      <x:c r="I59" s="506" t="str">
        <x:v>MAC59</x:v>
      </x:c>
      <x:c r="J59" s="506" t="str">
        <x:v>XY59</x:v>
      </x:c>
      <x:c r="K59" s="506" t="str">
        <x:v>No</x:v>
      </x:c>
      <x:c r="L59" s="506" t="str">
        <x:v>No</x:v>
      </x:c>
      <x:c r="M59" s="506" t="str">
        <x:v>Clean</x:v>
      </x:c>
      <x:c r="N59" s="506" t="str">
        <x:v>Active Directory</x:v>
      </x:c>
      <x:c r="O59" s="506" t="str">
        <x:v>Confirmed</x:v>
      </x:c>
      <x:c r="P59" s="506" t="str">
        <x:v>Validated</x:v>
      </x:c>
      <x:c r="Q59" s="506" t="str">
        <x:f>IF(OR(COUNTIF($A$2:$A$201,A59)&gt;1,COUNTIF($G$2:$G$201,G59)&gt;1,AND(F59&lt;&gt;"",COUNTIF($F$2:$F$201,F59)&gt;1),COUNTIF($H$2:$H$201,H59)&gt;1,COUNTIF($I$2:$I$201,I59)&gt;1,COUNTIF($J$2:$J$201,J59)&gt;1),"Yes","No")</x:f>
        <x:v>No</x:v>
      </x:c>
      <x:c r="R59" s="506" t="str">
        <x:f>IF(F59="","Missing",IF(AND(ISNUMBER(SEARCH("@",F59)),ISNUMBER(SEARCH(".",F59))),"Valid","Invalid"))</x:f>
        <x:v>Valid</x:v>
      </x:c>
      <x:c r="S59" s="506" t="n">
        <x:f>IF(K59="Yes",1,0)+IF(L59="Yes",1,0)+IF(M59&lt;&gt;"Clean",1,0)+IF(O59&lt;&gt;"Confirmed",1,0)+IF(P59&lt;&gt;"Validated",1,0)+IF(Q59="Yes",1,0)+IF(R59&lt;&gt;"Valid",1,0)</x:f>
        <x:v>0</x:v>
      </x:c>
      <x:c r="T59" s="517" t="n">
        <x:f>MAX(0,1-S59/7)</x:f>
        <x:v>1</x:v>
      </x:c>
      <x:c r="U59" s="506" t="str">
        <x:f>IF(AND(K59="No",L59="No",M59="Clean",O59="Confirmed",P59="Validated",Q59="No",R59="Valid"),"Ready","Hold")</x:f>
        <x:v>Ready</x:v>
      </x:c>
      <x:c r="V59" s="507" t="str">
        <x:f>IF(U59="Ready","No action",IF(K59="Yes","Resolve duplicate and confirm surviving record",IF(L59="Yes","Populate and validate email","Complete remediation and validation")))</x:f>
        <x:v>No action</x:v>
      </x:c>
    </x:row>
    <x:row r="60">
      <x:c r="A60" s="505" t="n">
        <x:v>1060</x:v>
      </x:c>
      <x:c r="B60" s="506" t="str">
        <x:v>Emp60</x:v>
      </x:c>
      <x:c r="C60" s="506" t="str">
        <x:v>User60</x:v>
      </x:c>
      <x:c r="D60" s="506" t="str">
        <x:v>Canada</x:v>
      </x:c>
      <x:c r="E60" s="506" t="str">
        <x:v>Sales</x:v>
      </x:c>
      <x:c r="F60" s="506" t="str">
        <x:v>emp60@company.com</x:v>
      </x:c>
      <x:c r="G60" s="506" t="str">
        <x:v>emp60</x:v>
      </x:c>
      <x:c r="H60" s="506" t="str">
        <x:v>BHR60</x:v>
      </x:c>
      <x:c r="I60" s="506" t="str">
        <x:v>MAC60</x:v>
      </x:c>
      <x:c r="J60" s="506" t="str">
        <x:v>XY60</x:v>
      </x:c>
      <x:c r="K60" s="506" t="str">
        <x:v>No</x:v>
      </x:c>
      <x:c r="L60" s="506" t="str">
        <x:v>No</x:v>
      </x:c>
      <x:c r="M60" s="506" t="str">
        <x:v>Clean</x:v>
      </x:c>
      <x:c r="N60" s="506" t="str">
        <x:v>Maconomy</x:v>
      </x:c>
      <x:c r="O60" s="506" t="str">
        <x:v>Confirmed</x:v>
      </x:c>
      <x:c r="P60" s="506" t="str">
        <x:v>Validated</x:v>
      </x:c>
      <x:c r="Q60" s="506" t="str">
        <x:f>IF(OR(COUNTIF($A$2:$A$201,A60)&gt;1,COUNTIF($G$2:$G$201,G60)&gt;1,AND(F60&lt;&gt;"",COUNTIF($F$2:$F$201,F60)&gt;1),COUNTIF($H$2:$H$201,H60)&gt;1,COUNTIF($I$2:$I$201,I60)&gt;1,COUNTIF($J$2:$J$201,J60)&gt;1),"Yes","No")</x:f>
        <x:v>No</x:v>
      </x:c>
      <x:c r="R60" s="506" t="str">
        <x:f>IF(F60="","Missing",IF(AND(ISNUMBER(SEARCH("@",F60)),ISNUMBER(SEARCH(".",F60))),"Valid","Invalid"))</x:f>
        <x:v>Valid</x:v>
      </x:c>
      <x:c r="S60" s="506" t="n">
        <x:f>IF(K60="Yes",1,0)+IF(L60="Yes",1,0)+IF(M60&lt;&gt;"Clean",1,0)+IF(O60&lt;&gt;"Confirmed",1,0)+IF(P60&lt;&gt;"Validated",1,0)+IF(Q60="Yes",1,0)+IF(R60&lt;&gt;"Valid",1,0)</x:f>
        <x:v>0</x:v>
      </x:c>
      <x:c r="T60" s="517" t="n">
        <x:f>MAX(0,1-S60/7)</x:f>
        <x:v>1</x:v>
      </x:c>
      <x:c r="U60" s="506" t="str">
        <x:f>IF(AND(K60="No",L60="No",M60="Clean",O60="Confirmed",P60="Validated",Q60="No",R60="Valid"),"Ready","Hold")</x:f>
        <x:v>Ready</x:v>
      </x:c>
      <x:c r="V60" s="507" t="str">
        <x:f>IF(U60="Ready","No action",IF(K60="Yes","Resolve duplicate and confirm surviving record",IF(L60="Yes","Populate and validate email","Complete remediation and validation")))</x:f>
        <x:v>No action</x:v>
      </x:c>
    </x:row>
    <x:row r="61">
      <x:c r="A61" s="505" t="n">
        <x:v>1061</x:v>
      </x:c>
      <x:c r="B61" s="506" t="str">
        <x:v>Emp61</x:v>
      </x:c>
      <x:c r="C61" s="506" t="str">
        <x:v>User61</x:v>
      </x:c>
      <x:c r="D61" s="506" t="str">
        <x:v>Germany</x:v>
      </x:c>
      <x:c r="E61" s="506" t="str">
        <x:v>Marketing</x:v>
      </x:c>
      <x:c r="F61" s="506" t="str">
        <x:v>emp61@company.com</x:v>
      </x:c>
      <x:c r="G61" s="506" t="str">
        <x:v>emp61</x:v>
      </x:c>
      <x:c r="H61" s="506" t="str">
        <x:v>BHR61</x:v>
      </x:c>
      <x:c r="I61" s="506" t="str">
        <x:v>MAC61</x:v>
      </x:c>
      <x:c r="J61" s="506" t="str">
        <x:v>XY61</x:v>
      </x:c>
      <x:c r="K61" s="506" t="str">
        <x:v>No</x:v>
      </x:c>
      <x:c r="L61" s="506" t="str">
        <x:v>No</x:v>
      </x:c>
      <x:c r="M61" s="506" t="str">
        <x:v>Clean</x:v>
      </x:c>
      <x:c r="N61" s="506" t="str">
        <x:v>Xytech</x:v>
      </x:c>
      <x:c r="O61" s="506" t="str">
        <x:v>Confirmed</x:v>
      </x:c>
      <x:c r="P61" s="506" t="str">
        <x:v>Validated</x:v>
      </x:c>
      <x:c r="Q61" s="506" t="str">
        <x:f>IF(OR(COUNTIF($A$2:$A$201,A61)&gt;1,COUNTIF($G$2:$G$201,G61)&gt;1,AND(F61&lt;&gt;"",COUNTIF($F$2:$F$201,F61)&gt;1),COUNTIF($H$2:$H$201,H61)&gt;1,COUNTIF($I$2:$I$201,I61)&gt;1,COUNTIF($J$2:$J$201,J61)&gt;1),"Yes","No")</x:f>
        <x:v>No</x:v>
      </x:c>
      <x:c r="R61" s="506" t="str">
        <x:f>IF(F61="","Missing",IF(AND(ISNUMBER(SEARCH("@",F61)),ISNUMBER(SEARCH(".",F61))),"Valid","Invalid"))</x:f>
        <x:v>Valid</x:v>
      </x:c>
      <x:c r="S61" s="506" t="n">
        <x:f>IF(K61="Yes",1,0)+IF(L61="Yes",1,0)+IF(M61&lt;&gt;"Clean",1,0)+IF(O61&lt;&gt;"Confirmed",1,0)+IF(P61&lt;&gt;"Validated",1,0)+IF(Q61="Yes",1,0)+IF(R61&lt;&gt;"Valid",1,0)</x:f>
        <x:v>0</x:v>
      </x:c>
      <x:c r="T61" s="517" t="n">
        <x:f>MAX(0,1-S61/7)</x:f>
        <x:v>1</x:v>
      </x:c>
      <x:c r="U61" s="506" t="str">
        <x:f>IF(AND(K61="No",L61="No",M61="Clean",O61="Confirmed",P61="Validated",Q61="No",R61="Valid"),"Ready","Hold")</x:f>
        <x:v>Ready</x:v>
      </x:c>
      <x:c r="V61" s="507" t="str">
        <x:f>IF(U61="Ready","No action",IF(K61="Yes","Resolve duplicate and confirm surviving record",IF(L61="Yes","Populate and validate email","Complete remediation and validation")))</x:f>
        <x:v>No action</x:v>
      </x:c>
    </x:row>
    <x:row r="62">
      <x:c r="A62" s="505" t="n">
        <x:v>1062</x:v>
      </x:c>
      <x:c r="B62" s="506" t="str">
        <x:v>Emp62</x:v>
      </x:c>
      <x:c r="C62" s="506" t="str">
        <x:v>User62</x:v>
      </x:c>
      <x:c r="D62" s="506" t="str">
        <x:v>India</x:v>
      </x:c>
      <x:c r="E62" s="506" t="str">
        <x:v>HR</x:v>
      </x:c>
      <x:c r="F62" s="506" t="str">
        <x:v>emp62@company.com</x:v>
      </x:c>
      <x:c r="G62" s="506" t="str">
        <x:v>emp62</x:v>
      </x:c>
      <x:c r="H62" s="506" t="str">
        <x:v>BHR62</x:v>
      </x:c>
      <x:c r="I62" s="506" t="str">
        <x:v>MAC62</x:v>
      </x:c>
      <x:c r="J62" s="506" t="str">
        <x:v>XY62</x:v>
      </x:c>
      <x:c r="K62" s="506" t="str">
        <x:v>No</x:v>
      </x:c>
      <x:c r="L62" s="506" t="str">
        <x:v>No</x:v>
      </x:c>
      <x:c r="M62" s="506" t="str">
        <x:v>Clean</x:v>
      </x:c>
      <x:c r="N62" s="506" t="str">
        <x:v>BambooHR</x:v>
      </x:c>
      <x:c r="O62" s="506" t="str">
        <x:v>Confirmed</x:v>
      </x:c>
      <x:c r="P62" s="506" t="str">
        <x:v>Validated</x:v>
      </x:c>
      <x:c r="Q62" s="506" t="str">
        <x:f>IF(OR(COUNTIF($A$2:$A$201,A62)&gt;1,COUNTIF($G$2:$G$201,G62)&gt;1,AND(F62&lt;&gt;"",COUNTIF($F$2:$F$201,F62)&gt;1),COUNTIF($H$2:$H$201,H62)&gt;1,COUNTIF($I$2:$I$201,I62)&gt;1,COUNTIF($J$2:$J$201,J62)&gt;1),"Yes","No")</x:f>
        <x:v>No</x:v>
      </x:c>
      <x:c r="R62" s="506" t="str">
        <x:f>IF(F62="","Missing",IF(AND(ISNUMBER(SEARCH("@",F62)),ISNUMBER(SEARCH(".",F62))),"Valid","Invalid"))</x:f>
        <x:v>Valid</x:v>
      </x:c>
      <x:c r="S62" s="506" t="n">
        <x:f>IF(K62="Yes",1,0)+IF(L62="Yes",1,0)+IF(M62&lt;&gt;"Clean",1,0)+IF(O62&lt;&gt;"Confirmed",1,0)+IF(P62&lt;&gt;"Validated",1,0)+IF(Q62="Yes",1,0)+IF(R62&lt;&gt;"Valid",1,0)</x:f>
        <x:v>0</x:v>
      </x:c>
      <x:c r="T62" s="517" t="n">
        <x:f>MAX(0,1-S62/7)</x:f>
        <x:v>1</x:v>
      </x:c>
      <x:c r="U62" s="506" t="str">
        <x:f>IF(AND(K62="No",L62="No",M62="Clean",O62="Confirmed",P62="Validated",Q62="No",R62="Valid"),"Ready","Hold")</x:f>
        <x:v>Ready</x:v>
      </x:c>
      <x:c r="V62" s="507" t="str">
        <x:f>IF(U62="Ready","No action",IF(K62="Yes","Resolve duplicate and confirm surviving record",IF(L62="Yes","Populate and validate email","Complete remediation and validation")))</x:f>
        <x:v>No action</x:v>
      </x:c>
    </x:row>
    <x:row r="63">
      <x:c r="A63" s="505" t="n">
        <x:v>1063</x:v>
      </x:c>
      <x:c r="B63" s="506" t="str">
        <x:v>Emp63</x:v>
      </x:c>
      <x:c r="C63" s="506" t="str">
        <x:v>User63</x:v>
      </x:c>
      <x:c r="D63" s="506" t="str">
        <x:v>Australia</x:v>
      </x:c>
      <x:c r="E63" s="506" t="str">
        <x:v>Finance</x:v>
      </x:c>
      <x:c r="F63" s="506" t="str">
        <x:v>emp63@company.com</x:v>
      </x:c>
      <x:c r="G63" s="506" t="str">
        <x:v>emp63</x:v>
      </x:c>
      <x:c r="H63" s="506" t="str">
        <x:v>BHR63</x:v>
      </x:c>
      <x:c r="I63" s="506" t="str">
        <x:v>MAC63</x:v>
      </x:c>
      <x:c r="J63" s="506" t="str">
        <x:v>XY63</x:v>
      </x:c>
      <x:c r="K63" s="506" t="str">
        <x:v>No</x:v>
      </x:c>
      <x:c r="L63" s="506" t="str">
        <x:v>No</x:v>
      </x:c>
      <x:c r="M63" s="506" t="str">
        <x:v>Clean</x:v>
      </x:c>
      <x:c r="N63" s="506" t="str">
        <x:v>Active Directory</x:v>
      </x:c>
      <x:c r="O63" s="506" t="str">
        <x:v>Confirmed</x:v>
      </x:c>
      <x:c r="P63" s="506" t="str">
        <x:v>Validated</x:v>
      </x:c>
      <x:c r="Q63" s="506" t="str">
        <x:f>IF(OR(COUNTIF($A$2:$A$201,A63)&gt;1,COUNTIF($G$2:$G$201,G63)&gt;1,AND(F63&lt;&gt;"",COUNTIF($F$2:$F$201,F63)&gt;1),COUNTIF($H$2:$H$201,H63)&gt;1,COUNTIF($I$2:$I$201,I63)&gt;1,COUNTIF($J$2:$J$201,J63)&gt;1),"Yes","No")</x:f>
        <x:v>No</x:v>
      </x:c>
      <x:c r="R63" s="506" t="str">
        <x:f>IF(F63="","Missing",IF(AND(ISNUMBER(SEARCH("@",F63)),ISNUMBER(SEARCH(".",F63))),"Valid","Invalid"))</x:f>
        <x:v>Valid</x:v>
      </x:c>
      <x:c r="S63" s="506" t="n">
        <x:f>IF(K63="Yes",1,0)+IF(L63="Yes",1,0)+IF(M63&lt;&gt;"Clean",1,0)+IF(O63&lt;&gt;"Confirmed",1,0)+IF(P63&lt;&gt;"Validated",1,0)+IF(Q63="Yes",1,0)+IF(R63&lt;&gt;"Valid",1,0)</x:f>
        <x:v>0</x:v>
      </x:c>
      <x:c r="T63" s="517" t="n">
        <x:f>MAX(0,1-S63/7)</x:f>
        <x:v>1</x:v>
      </x:c>
      <x:c r="U63" s="506" t="str">
        <x:f>IF(AND(K63="No",L63="No",M63="Clean",O63="Confirmed",P63="Validated",Q63="No",R63="Valid"),"Ready","Hold")</x:f>
        <x:v>Ready</x:v>
      </x:c>
      <x:c r="V63" s="507" t="str">
        <x:f>IF(U63="Ready","No action",IF(K63="Yes","Resolve duplicate and confirm surviving record",IF(L63="Yes","Populate and validate email","Complete remediation and validation")))</x:f>
        <x:v>No action</x:v>
      </x:c>
    </x:row>
    <x:row r="64">
      <x:c r="A64" s="505" t="n">
        <x:v>1064</x:v>
      </x:c>
      <x:c r="B64" s="506" t="str">
        <x:v>Emp64</x:v>
      </x:c>
      <x:c r="C64" s="506" t="str">
        <x:v>User64</x:v>
      </x:c>
      <x:c r="D64" s="506" t="str">
        <x:v>UAE</x:v>
      </x:c>
      <x:c r="E64" s="506" t="str">
        <x:v>IT</x:v>
      </x:c>
      <x:c r="F64" s="506" t="str">
        <x:v>emp64@company.com</x:v>
      </x:c>
      <x:c r="G64" s="506" t="str">
        <x:v>emp64</x:v>
      </x:c>
      <x:c r="H64" s="506" t="str">
        <x:v>BHR64</x:v>
      </x:c>
      <x:c r="I64" s="506" t="str">
        <x:v>MAC64</x:v>
      </x:c>
      <x:c r="J64" s="506" t="str">
        <x:v>XY64</x:v>
      </x:c>
      <x:c r="K64" s="506" t="str">
        <x:v>No</x:v>
      </x:c>
      <x:c r="L64" s="506" t="str">
        <x:v>No</x:v>
      </x:c>
      <x:c r="M64" s="506" t="str">
        <x:v>Clean</x:v>
      </x:c>
      <x:c r="N64" s="506" t="str">
        <x:v>Maconomy</x:v>
      </x:c>
      <x:c r="O64" s="506" t="str">
        <x:v>Confirmed</x:v>
      </x:c>
      <x:c r="P64" s="506" t="str">
        <x:v>Validated</x:v>
      </x:c>
      <x:c r="Q64" s="506" t="str">
        <x:f>IF(OR(COUNTIF($A$2:$A$201,A64)&gt;1,COUNTIF($G$2:$G$201,G64)&gt;1,AND(F64&lt;&gt;"",COUNTIF($F$2:$F$201,F64)&gt;1),COUNTIF($H$2:$H$201,H64)&gt;1,COUNTIF($I$2:$I$201,I64)&gt;1,COUNTIF($J$2:$J$201,J64)&gt;1),"Yes","No")</x:f>
        <x:v>No</x:v>
      </x:c>
      <x:c r="R64" s="506" t="str">
        <x:f>IF(F64="","Missing",IF(AND(ISNUMBER(SEARCH("@",F64)),ISNUMBER(SEARCH(".",F64))),"Valid","Invalid"))</x:f>
        <x:v>Valid</x:v>
      </x:c>
      <x:c r="S64" s="506" t="n">
        <x:f>IF(K64="Yes",1,0)+IF(L64="Yes",1,0)+IF(M64&lt;&gt;"Clean",1,0)+IF(O64&lt;&gt;"Confirmed",1,0)+IF(P64&lt;&gt;"Validated",1,0)+IF(Q64="Yes",1,0)+IF(R64&lt;&gt;"Valid",1,0)</x:f>
        <x:v>0</x:v>
      </x:c>
      <x:c r="T64" s="517" t="n">
        <x:f>MAX(0,1-S64/7)</x:f>
        <x:v>1</x:v>
      </x:c>
      <x:c r="U64" s="506" t="str">
        <x:f>IF(AND(K64="No",L64="No",M64="Clean",O64="Confirmed",P64="Validated",Q64="No",R64="Valid"),"Ready","Hold")</x:f>
        <x:v>Ready</x:v>
      </x:c>
      <x:c r="V64" s="507" t="str">
        <x:f>IF(U64="Ready","No action",IF(K64="Yes","Resolve duplicate and confirm surviving record",IF(L64="Yes","Populate and validate email","Complete remediation and validation")))</x:f>
        <x:v>No action</x:v>
      </x:c>
    </x:row>
    <x:row r="65">
      <x:c r="A65" s="505" t="n">
        <x:v>1065</x:v>
      </x:c>
      <x:c r="B65" s="506" t="str">
        <x:v>Emp65</x:v>
      </x:c>
      <x:c r="C65" s="506" t="str">
        <x:v>User65</x:v>
      </x:c>
      <x:c r="D65" s="506" t="str">
        <x:v>France</x:v>
      </x:c>
      <x:c r="E65" s="506" t="str">
        <x:v>Operations</x:v>
      </x:c>
      <x:c r="F65" s="506" t="str">
        <x:v>emp65@company.com</x:v>
      </x:c>
      <x:c r="G65" s="506" t="str">
        <x:v>emp65</x:v>
      </x:c>
      <x:c r="H65" s="506" t="str">
        <x:v>BHR65</x:v>
      </x:c>
      <x:c r="I65" s="506" t="str">
        <x:v>MAC65</x:v>
      </x:c>
      <x:c r="J65" s="506" t="str">
        <x:v>XY65</x:v>
      </x:c>
      <x:c r="K65" s="506" t="str">
        <x:v>No</x:v>
      </x:c>
      <x:c r="L65" s="506" t="str">
        <x:v>No</x:v>
      </x:c>
      <x:c r="M65" s="506" t="str">
        <x:v>Clean</x:v>
      </x:c>
      <x:c r="N65" s="506" t="str">
        <x:v>Xytech</x:v>
      </x:c>
      <x:c r="O65" s="506" t="str">
        <x:v>Confirmed</x:v>
      </x:c>
      <x:c r="P65" s="506" t="str">
        <x:v>Validated</x:v>
      </x:c>
      <x:c r="Q65" s="506" t="str">
        <x:f>IF(OR(COUNTIF($A$2:$A$201,A65)&gt;1,COUNTIF($G$2:$G$201,G65)&gt;1,AND(F65&lt;&gt;"",COUNTIF($F$2:$F$201,F65)&gt;1),COUNTIF($H$2:$H$201,H65)&gt;1,COUNTIF($I$2:$I$201,I65)&gt;1,COUNTIF($J$2:$J$201,J65)&gt;1),"Yes","No")</x:f>
        <x:v>No</x:v>
      </x:c>
      <x:c r="R65" s="506" t="str">
        <x:f>IF(F65="","Missing",IF(AND(ISNUMBER(SEARCH("@",F65)),ISNUMBER(SEARCH(".",F65))),"Valid","Invalid"))</x:f>
        <x:v>Valid</x:v>
      </x:c>
      <x:c r="S65" s="506" t="n">
        <x:f>IF(K65="Yes",1,0)+IF(L65="Yes",1,0)+IF(M65&lt;&gt;"Clean",1,0)+IF(O65&lt;&gt;"Confirmed",1,0)+IF(P65&lt;&gt;"Validated",1,0)+IF(Q65="Yes",1,0)+IF(R65&lt;&gt;"Valid",1,0)</x:f>
        <x:v>0</x:v>
      </x:c>
      <x:c r="T65" s="517" t="n">
        <x:f>MAX(0,1-S65/7)</x:f>
        <x:v>1</x:v>
      </x:c>
      <x:c r="U65" s="506" t="str">
        <x:f>IF(AND(K65="No",L65="No",M65="Clean",O65="Confirmed",P65="Validated",Q65="No",R65="Valid"),"Ready","Hold")</x:f>
        <x:v>Ready</x:v>
      </x:c>
      <x:c r="V65" s="507" t="str">
        <x:f>IF(U65="Ready","No action",IF(K65="Yes","Resolve duplicate and confirm surviving record",IF(L65="Yes","Populate and validate email","Complete remediation and validation")))</x:f>
        <x:v>No action</x:v>
      </x:c>
    </x:row>
    <x:row r="66">
      <x:c r="A66" s="505" t="n">
        <x:v>1066</x:v>
      </x:c>
      <x:c r="B66" s="506" t="str">
        <x:v>Emp66</x:v>
      </x:c>
      <x:c r="C66" s="506" t="str">
        <x:v>User66</x:v>
      </x:c>
      <x:c r="D66" s="506" t="str">
        <x:v>Nigeria</x:v>
      </x:c>
      <x:c r="E66" s="506" t="str">
        <x:v>Sales</x:v>
      </x:c>
      <x:c r="F66" s="506" t="str">
        <x:v>emp66@company.com</x:v>
      </x:c>
      <x:c r="G66" s="506" t="str">
        <x:v>emp66</x:v>
      </x:c>
      <x:c r="H66" s="506" t="str">
        <x:v>BHR66</x:v>
      </x:c>
      <x:c r="I66" s="506" t="str">
        <x:v>MAC66</x:v>
      </x:c>
      <x:c r="J66" s="506" t="str">
        <x:v>XY66</x:v>
      </x:c>
      <x:c r="K66" s="506" t="str">
        <x:v>No</x:v>
      </x:c>
      <x:c r="L66" s="506" t="str">
        <x:v>No</x:v>
      </x:c>
      <x:c r="M66" s="506" t="str">
        <x:v>Clean</x:v>
      </x:c>
      <x:c r="N66" s="506" t="str">
        <x:v>BambooHR</x:v>
      </x:c>
      <x:c r="O66" s="506" t="str">
        <x:v>Confirmed</x:v>
      </x:c>
      <x:c r="P66" s="506" t="str">
        <x:v>Validated</x:v>
      </x:c>
      <x:c r="Q66" s="506" t="str">
        <x:f>IF(OR(COUNTIF($A$2:$A$201,A66)&gt;1,COUNTIF($G$2:$G$201,G66)&gt;1,AND(F66&lt;&gt;"",COUNTIF($F$2:$F$201,F66)&gt;1),COUNTIF($H$2:$H$201,H66)&gt;1,COUNTIF($I$2:$I$201,I66)&gt;1,COUNTIF($J$2:$J$201,J66)&gt;1),"Yes","No")</x:f>
        <x:v>No</x:v>
      </x:c>
      <x:c r="R66" s="506" t="str">
        <x:f>IF(F66="","Missing",IF(AND(ISNUMBER(SEARCH("@",F66)),ISNUMBER(SEARCH(".",F66))),"Valid","Invalid"))</x:f>
        <x:v>Valid</x:v>
      </x:c>
      <x:c r="S66" s="506" t="n">
        <x:f>IF(K66="Yes",1,0)+IF(L66="Yes",1,0)+IF(M66&lt;&gt;"Clean",1,0)+IF(O66&lt;&gt;"Confirmed",1,0)+IF(P66&lt;&gt;"Validated",1,0)+IF(Q66="Yes",1,0)+IF(R66&lt;&gt;"Valid",1,0)</x:f>
        <x:v>0</x:v>
      </x:c>
      <x:c r="T66" s="517" t="n">
        <x:f>MAX(0,1-S66/7)</x:f>
        <x:v>1</x:v>
      </x:c>
      <x:c r="U66" s="506" t="str">
        <x:f>IF(AND(K66="No",L66="No",M66="Clean",O66="Confirmed",P66="Validated",Q66="No",R66="Valid"),"Ready","Hold")</x:f>
        <x:v>Ready</x:v>
      </x:c>
      <x:c r="V66" s="507" t="str">
        <x:f>IF(U66="Ready","No action",IF(K66="Yes","Resolve duplicate and confirm surviving record",IF(L66="Yes","Populate and validate email","Complete remediation and validation")))</x:f>
        <x:v>No action</x:v>
      </x:c>
    </x:row>
    <x:row r="67">
      <x:c r="A67" s="505" t="n">
        <x:v>1067</x:v>
      </x:c>
      <x:c r="B67" s="506" t="str">
        <x:v>Emp67</x:v>
      </x:c>
      <x:c r="C67" s="506" t="str">
        <x:v>User67</x:v>
      </x:c>
      <x:c r="D67" s="506" t="str">
        <x:v>Gambia</x:v>
      </x:c>
      <x:c r="E67" s="506" t="str">
        <x:v>Marketing</x:v>
      </x:c>
      <x:c r="F67" s="506" t="str">
        <x:v>emp67@company.com</x:v>
      </x:c>
      <x:c r="G67" s="506" t="str">
        <x:v>emp67</x:v>
      </x:c>
      <x:c r="H67" s="506" t="str">
        <x:v>BHR67</x:v>
      </x:c>
      <x:c r="I67" s="506" t="str">
        <x:v>MAC67</x:v>
      </x:c>
      <x:c r="J67" s="506" t="str">
        <x:v>XY67</x:v>
      </x:c>
      <x:c r="K67" s="506" t="str">
        <x:v>No</x:v>
      </x:c>
      <x:c r="L67" s="506" t="str">
        <x:v>No</x:v>
      </x:c>
      <x:c r="M67" s="506" t="str">
        <x:v>Clean</x:v>
      </x:c>
      <x:c r="N67" s="506" t="str">
        <x:v>Active Directory</x:v>
      </x:c>
      <x:c r="O67" s="506" t="str">
        <x:v>Confirmed</x:v>
      </x:c>
      <x:c r="P67" s="506" t="str">
        <x:v>Validated</x:v>
      </x:c>
      <x:c r="Q67" s="506" t="str">
        <x:f>IF(OR(COUNTIF($A$2:$A$201,A67)&gt;1,COUNTIF($G$2:$G$201,G67)&gt;1,AND(F67&lt;&gt;"",COUNTIF($F$2:$F$201,F67)&gt;1),COUNTIF($H$2:$H$201,H67)&gt;1,COUNTIF($I$2:$I$201,I67)&gt;1,COUNTIF($J$2:$J$201,J67)&gt;1),"Yes","No")</x:f>
        <x:v>No</x:v>
      </x:c>
      <x:c r="R67" s="506" t="str">
        <x:f>IF(F67="","Missing",IF(AND(ISNUMBER(SEARCH("@",F67)),ISNUMBER(SEARCH(".",F67))),"Valid","Invalid"))</x:f>
        <x:v>Valid</x:v>
      </x:c>
      <x:c r="S67" s="506" t="n">
        <x:f>IF(K67="Yes",1,0)+IF(L67="Yes",1,0)+IF(M67&lt;&gt;"Clean",1,0)+IF(O67&lt;&gt;"Confirmed",1,0)+IF(P67&lt;&gt;"Validated",1,0)+IF(Q67="Yes",1,0)+IF(R67&lt;&gt;"Valid",1,0)</x:f>
        <x:v>0</x:v>
      </x:c>
      <x:c r="T67" s="517" t="n">
        <x:f>MAX(0,1-S67/7)</x:f>
        <x:v>1</x:v>
      </x:c>
      <x:c r="U67" s="506" t="str">
        <x:f>IF(AND(K67="No",L67="No",M67="Clean",O67="Confirmed",P67="Validated",Q67="No",R67="Valid"),"Ready","Hold")</x:f>
        <x:v>Ready</x:v>
      </x:c>
      <x:c r="V67" s="507" t="str">
        <x:f>IF(U67="Ready","No action",IF(K67="Yes","Resolve duplicate and confirm surviving record",IF(L67="Yes","Populate and validate email","Complete remediation and validation")))</x:f>
        <x:v>No action</x:v>
      </x:c>
    </x:row>
    <x:row r="68">
      <x:c r="A68" s="505" t="n">
        <x:v>1068</x:v>
      </x:c>
      <x:c r="B68" s="506" t="str">
        <x:v>Emp68</x:v>
      </x:c>
      <x:c r="C68" s="506" t="str">
        <x:v>User68</x:v>
      </x:c>
      <x:c r="D68" s="506" t="str">
        <x:v>Spain</x:v>
      </x:c>
      <x:c r="E68" s="506" t="str">
        <x:v>HR</x:v>
      </x:c>
      <x:c r="F68" s="506" t="str">
        <x:v>emp68@company.com</x:v>
      </x:c>
      <x:c r="G68" s="506" t="str">
        <x:v>emp68</x:v>
      </x:c>
      <x:c r="H68" s="506" t="str">
        <x:v>BHR68</x:v>
      </x:c>
      <x:c r="I68" s="506" t="str">
        <x:v>MAC68</x:v>
      </x:c>
      <x:c r="J68" s="506" t="str">
        <x:v>XY68</x:v>
      </x:c>
      <x:c r="K68" s="506" t="str">
        <x:v>No</x:v>
      </x:c>
      <x:c r="L68" s="506" t="str">
        <x:v>No</x:v>
      </x:c>
      <x:c r="M68" s="506" t="str">
        <x:v>Clean</x:v>
      </x:c>
      <x:c r="N68" s="506" t="str">
        <x:v>Maconomy</x:v>
      </x:c>
      <x:c r="O68" s="506" t="str">
        <x:v>Confirmed</x:v>
      </x:c>
      <x:c r="P68" s="506" t="str">
        <x:v>Validated</x:v>
      </x:c>
      <x:c r="Q68" s="506" t="str">
        <x:f>IF(OR(COUNTIF($A$2:$A$201,A68)&gt;1,COUNTIF($G$2:$G$201,G68)&gt;1,AND(F68&lt;&gt;"",COUNTIF($F$2:$F$201,F68)&gt;1),COUNTIF($H$2:$H$201,H68)&gt;1,COUNTIF($I$2:$I$201,I68)&gt;1,COUNTIF($J$2:$J$201,J68)&gt;1),"Yes","No")</x:f>
        <x:v>No</x:v>
      </x:c>
      <x:c r="R68" s="506" t="str">
        <x:f>IF(F68="","Missing",IF(AND(ISNUMBER(SEARCH("@",F68)),ISNUMBER(SEARCH(".",F68))),"Valid","Invalid"))</x:f>
        <x:v>Valid</x:v>
      </x:c>
      <x:c r="S68" s="506" t="n">
        <x:f>IF(K68="Yes",1,0)+IF(L68="Yes",1,0)+IF(M68&lt;&gt;"Clean",1,0)+IF(O68&lt;&gt;"Confirmed",1,0)+IF(P68&lt;&gt;"Validated",1,0)+IF(Q68="Yes",1,0)+IF(R68&lt;&gt;"Valid",1,0)</x:f>
        <x:v>0</x:v>
      </x:c>
      <x:c r="T68" s="517" t="n">
        <x:f>MAX(0,1-S68/7)</x:f>
        <x:v>1</x:v>
      </x:c>
      <x:c r="U68" s="506" t="str">
        <x:f>IF(AND(K68="No",L68="No",M68="Clean",O68="Confirmed",P68="Validated",Q68="No",R68="Valid"),"Ready","Hold")</x:f>
        <x:v>Ready</x:v>
      </x:c>
      <x:c r="V68" s="507" t="str">
        <x:f>IF(U68="Ready","No action",IF(K68="Yes","Resolve duplicate and confirm surviving record",IF(L68="Yes","Populate and validate email","Complete remediation and validation")))</x:f>
        <x:v>No action</x:v>
      </x:c>
    </x:row>
    <x:row r="69">
      <x:c r="A69" s="505" t="n">
        <x:v>1069</x:v>
      </x:c>
      <x:c r="B69" s="506" t="str">
        <x:v>Emp69</x:v>
      </x:c>
      <x:c r="C69" s="506" t="str">
        <x:v>User69</x:v>
      </x:c>
      <x:c r="D69" s="506" t="str">
        <x:v>Netherlands</x:v>
      </x:c>
      <x:c r="E69" s="506" t="str">
        <x:v>Finance</x:v>
      </x:c>
      <x:c r="F69" s="506" t="str">
        <x:v>emp69@company.com</x:v>
      </x:c>
      <x:c r="G69" s="506" t="str">
        <x:v>emp69</x:v>
      </x:c>
      <x:c r="H69" s="506" t="str">
        <x:v>BHR69</x:v>
      </x:c>
      <x:c r="I69" s="506" t="str">
        <x:v>MAC69</x:v>
      </x:c>
      <x:c r="J69" s="506" t="str">
        <x:v>XY69</x:v>
      </x:c>
      <x:c r="K69" s="506" t="str">
        <x:v>No</x:v>
      </x:c>
      <x:c r="L69" s="506" t="str">
        <x:v>No</x:v>
      </x:c>
      <x:c r="M69" s="506" t="str">
        <x:v>Clean</x:v>
      </x:c>
      <x:c r="N69" s="506" t="str">
        <x:v>Xytech</x:v>
      </x:c>
      <x:c r="O69" s="506" t="str">
        <x:v>Confirmed</x:v>
      </x:c>
      <x:c r="P69" s="506" t="str">
        <x:v>Validated</x:v>
      </x:c>
      <x:c r="Q69" s="506" t="str">
        <x:f>IF(OR(COUNTIF($A$2:$A$201,A69)&gt;1,COUNTIF($G$2:$G$201,G69)&gt;1,AND(F69&lt;&gt;"",COUNTIF($F$2:$F$201,F69)&gt;1),COUNTIF($H$2:$H$201,H69)&gt;1,COUNTIF($I$2:$I$201,I69)&gt;1,COUNTIF($J$2:$J$201,J69)&gt;1),"Yes","No")</x:f>
        <x:v>No</x:v>
      </x:c>
      <x:c r="R69" s="506" t="str">
        <x:f>IF(F69="","Missing",IF(AND(ISNUMBER(SEARCH("@",F69)),ISNUMBER(SEARCH(".",F69))),"Valid","Invalid"))</x:f>
        <x:v>Valid</x:v>
      </x:c>
      <x:c r="S69" s="506" t="n">
        <x:f>IF(K69="Yes",1,0)+IF(L69="Yes",1,0)+IF(M69&lt;&gt;"Clean",1,0)+IF(O69&lt;&gt;"Confirmed",1,0)+IF(P69&lt;&gt;"Validated",1,0)+IF(Q69="Yes",1,0)+IF(R69&lt;&gt;"Valid",1,0)</x:f>
        <x:v>0</x:v>
      </x:c>
      <x:c r="T69" s="517" t="n">
        <x:f>MAX(0,1-S69/7)</x:f>
        <x:v>1</x:v>
      </x:c>
      <x:c r="U69" s="506" t="str">
        <x:f>IF(AND(K69="No",L69="No",M69="Clean",O69="Confirmed",P69="Validated",Q69="No",R69="Valid"),"Ready","Hold")</x:f>
        <x:v>Ready</x:v>
      </x:c>
      <x:c r="V69" s="507" t="str">
        <x:f>IF(U69="Ready","No action",IF(K69="Yes","Resolve duplicate and confirm surviving record",IF(L69="Yes","Populate and validate email","Complete remediation and validation")))</x:f>
        <x:v>No action</x:v>
      </x:c>
    </x:row>
    <x:row r="70">
      <x:c r="A70" s="505" t="n">
        <x:v>1070</x:v>
      </x:c>
      <x:c r="B70" s="506" t="str">
        <x:v>Emp70</x:v>
      </x:c>
      <x:c r="C70" s="506" t="str">
        <x:v>User70</x:v>
      </x:c>
      <x:c r="D70" s="506" t="str">
        <x:v>Singapore</x:v>
      </x:c>
      <x:c r="E70" s="506" t="str">
        <x:v>IT</x:v>
      </x:c>
      <x:c r="F70" s="506" t="str">
        <x:v>emp70@company.com</x:v>
      </x:c>
      <x:c r="G70" s="506" t="str">
        <x:v>emp70</x:v>
      </x:c>
      <x:c r="H70" s="506" t="str">
        <x:v>BHR70</x:v>
      </x:c>
      <x:c r="I70" s="506" t="str">
        <x:v>MAC70</x:v>
      </x:c>
      <x:c r="J70" s="506" t="str">
        <x:v>XY70</x:v>
      </x:c>
      <x:c r="K70" s="506" t="str">
        <x:v>No</x:v>
      </x:c>
      <x:c r="L70" s="506" t="str">
        <x:v>No</x:v>
      </x:c>
      <x:c r="M70" s="506" t="str">
        <x:v>Clean</x:v>
      </x:c>
      <x:c r="N70" s="506" t="str">
        <x:v>BambooHR</x:v>
      </x:c>
      <x:c r="O70" s="506" t="str">
        <x:v>Confirmed</x:v>
      </x:c>
      <x:c r="P70" s="506" t="str">
        <x:v>Validated</x:v>
      </x:c>
      <x:c r="Q70" s="506" t="str">
        <x:f>IF(OR(COUNTIF($A$2:$A$201,A70)&gt;1,COUNTIF($G$2:$G$201,G70)&gt;1,AND(F70&lt;&gt;"",COUNTIF($F$2:$F$201,F70)&gt;1),COUNTIF($H$2:$H$201,H70)&gt;1,COUNTIF($I$2:$I$201,I70)&gt;1,COUNTIF($J$2:$J$201,J70)&gt;1),"Yes","No")</x:f>
        <x:v>No</x:v>
      </x:c>
      <x:c r="R70" s="506" t="str">
        <x:f>IF(F70="","Missing",IF(AND(ISNUMBER(SEARCH("@",F70)),ISNUMBER(SEARCH(".",F70))),"Valid","Invalid"))</x:f>
        <x:v>Valid</x:v>
      </x:c>
      <x:c r="S70" s="506" t="n">
        <x:f>IF(K70="Yes",1,0)+IF(L70="Yes",1,0)+IF(M70&lt;&gt;"Clean",1,0)+IF(O70&lt;&gt;"Confirmed",1,0)+IF(P70&lt;&gt;"Validated",1,0)+IF(Q70="Yes",1,0)+IF(R70&lt;&gt;"Valid",1,0)</x:f>
        <x:v>0</x:v>
      </x:c>
      <x:c r="T70" s="517" t="n">
        <x:f>MAX(0,1-S70/7)</x:f>
        <x:v>1</x:v>
      </x:c>
      <x:c r="U70" s="506" t="str">
        <x:f>IF(AND(K70="No",L70="No",M70="Clean",O70="Confirmed",P70="Validated",Q70="No",R70="Valid"),"Ready","Hold")</x:f>
        <x:v>Ready</x:v>
      </x:c>
      <x:c r="V70" s="507" t="str">
        <x:f>IF(U70="Ready","No action",IF(K70="Yes","Resolve duplicate and confirm surviving record",IF(L70="Yes","Populate and validate email","Complete remediation and validation")))</x:f>
        <x:v>No action</x:v>
      </x:c>
    </x:row>
    <x:row r="71">
      <x:c r="A71" s="505" t="n">
        <x:v>1071</x:v>
      </x:c>
      <x:c r="B71" s="506" t="str">
        <x:v>Emp71</x:v>
      </x:c>
      <x:c r="C71" s="506" t="str">
        <x:v>User71</x:v>
      </x:c>
      <x:c r="D71" s="506" t="str">
        <x:v>Brazil</x:v>
      </x:c>
      <x:c r="E71" s="506" t="str">
        <x:v>Operations</x:v>
      </x:c>
      <x:c r="F71" s="506" t="str">
        <x:v>emp71@company.com</x:v>
      </x:c>
      <x:c r="G71" s="506" t="str">
        <x:v>emp71</x:v>
      </x:c>
      <x:c r="H71" s="506" t="str">
        <x:v>BHR71</x:v>
      </x:c>
      <x:c r="I71" s="506" t="str">
        <x:v>MAC71</x:v>
      </x:c>
      <x:c r="J71" s="506" t="str">
        <x:v>XY71</x:v>
      </x:c>
      <x:c r="K71" s="506" t="str">
        <x:v>No</x:v>
      </x:c>
      <x:c r="L71" s="506" t="str">
        <x:v>No</x:v>
      </x:c>
      <x:c r="M71" s="506" t="str">
        <x:v>Clean</x:v>
      </x:c>
      <x:c r="N71" s="506" t="str">
        <x:v>Active Directory</x:v>
      </x:c>
      <x:c r="O71" s="506" t="str">
        <x:v>Confirmed</x:v>
      </x:c>
      <x:c r="P71" s="506" t="str">
        <x:v>Validated</x:v>
      </x:c>
      <x:c r="Q71" s="506" t="str">
        <x:f>IF(OR(COUNTIF($A$2:$A$201,A71)&gt;1,COUNTIF($G$2:$G$201,G71)&gt;1,AND(F71&lt;&gt;"",COUNTIF($F$2:$F$201,F71)&gt;1),COUNTIF($H$2:$H$201,H71)&gt;1,COUNTIF($I$2:$I$201,I71)&gt;1,COUNTIF($J$2:$J$201,J71)&gt;1),"Yes","No")</x:f>
        <x:v>No</x:v>
      </x:c>
      <x:c r="R71" s="506" t="str">
        <x:f>IF(F71="","Missing",IF(AND(ISNUMBER(SEARCH("@",F71)),ISNUMBER(SEARCH(".",F71))),"Valid","Invalid"))</x:f>
        <x:v>Valid</x:v>
      </x:c>
      <x:c r="S71" s="506" t="n">
        <x:f>IF(K71="Yes",1,0)+IF(L71="Yes",1,0)+IF(M71&lt;&gt;"Clean",1,0)+IF(O71&lt;&gt;"Confirmed",1,0)+IF(P71&lt;&gt;"Validated",1,0)+IF(Q71="Yes",1,0)+IF(R71&lt;&gt;"Valid",1,0)</x:f>
        <x:v>0</x:v>
      </x:c>
      <x:c r="T71" s="517" t="n">
        <x:f>MAX(0,1-S71/7)</x:f>
        <x:v>1</x:v>
      </x:c>
      <x:c r="U71" s="506" t="str">
        <x:f>IF(AND(K71="No",L71="No",M71="Clean",O71="Confirmed",P71="Validated",Q71="No",R71="Valid"),"Ready","Hold")</x:f>
        <x:v>Ready</x:v>
      </x:c>
      <x:c r="V71" s="507" t="str">
        <x:f>IF(U71="Ready","No action",IF(K71="Yes","Resolve duplicate and confirm surviving record",IF(L71="Yes","Populate and validate email","Complete remediation and validation")))</x:f>
        <x:v>No action</x:v>
      </x:c>
    </x:row>
    <x:row r="72">
      <x:c r="A72" s="505" t="n">
        <x:v>1072</x:v>
      </x:c>
      <x:c r="B72" s="506" t="str">
        <x:v>Emp72</x:v>
      </x:c>
      <x:c r="C72" s="506" t="str">
        <x:v>User72</x:v>
      </x:c>
      <x:c r="D72" s="506" t="str">
        <x:v>UK</x:v>
      </x:c>
      <x:c r="E72" s="506" t="str">
        <x:v>Sales</x:v>
      </x:c>
      <x:c r="F72" s="506" t="str">
        <x:v>emp72@company.com</x:v>
      </x:c>
      <x:c r="G72" s="506" t="str">
        <x:v>emp72</x:v>
      </x:c>
      <x:c r="H72" s="506" t="str">
        <x:v>BHR72</x:v>
      </x:c>
      <x:c r="I72" s="506" t="str">
        <x:v>MAC72</x:v>
      </x:c>
      <x:c r="J72" s="506" t="str">
        <x:v>XY72</x:v>
      </x:c>
      <x:c r="K72" s="506" t="str">
        <x:v>No</x:v>
      </x:c>
      <x:c r="L72" s="506" t="str">
        <x:v>No</x:v>
      </x:c>
      <x:c r="M72" s="506" t="str">
        <x:v>Clean</x:v>
      </x:c>
      <x:c r="N72" s="506" t="str">
        <x:v>Maconomy</x:v>
      </x:c>
      <x:c r="O72" s="506" t="str">
        <x:v>Confirmed</x:v>
      </x:c>
      <x:c r="P72" s="506" t="str">
        <x:v>Validated</x:v>
      </x:c>
      <x:c r="Q72" s="506" t="str">
        <x:f>IF(OR(COUNTIF($A$2:$A$201,A72)&gt;1,COUNTIF($G$2:$G$201,G72)&gt;1,AND(F72&lt;&gt;"",COUNTIF($F$2:$F$201,F72)&gt;1),COUNTIF($H$2:$H$201,H72)&gt;1,COUNTIF($I$2:$I$201,I72)&gt;1,COUNTIF($J$2:$J$201,J72)&gt;1),"Yes","No")</x:f>
        <x:v>No</x:v>
      </x:c>
      <x:c r="R72" s="506" t="str">
        <x:f>IF(F72="","Missing",IF(AND(ISNUMBER(SEARCH("@",F72)),ISNUMBER(SEARCH(".",F72))),"Valid","Invalid"))</x:f>
        <x:v>Valid</x:v>
      </x:c>
      <x:c r="S72" s="506" t="n">
        <x:f>IF(K72="Yes",1,0)+IF(L72="Yes",1,0)+IF(M72&lt;&gt;"Clean",1,0)+IF(O72&lt;&gt;"Confirmed",1,0)+IF(P72&lt;&gt;"Validated",1,0)+IF(Q72="Yes",1,0)+IF(R72&lt;&gt;"Valid",1,0)</x:f>
        <x:v>0</x:v>
      </x:c>
      <x:c r="T72" s="517" t="n">
        <x:f>MAX(0,1-S72/7)</x:f>
        <x:v>1</x:v>
      </x:c>
      <x:c r="U72" s="506" t="str">
        <x:f>IF(AND(K72="No",L72="No",M72="Clean",O72="Confirmed",P72="Validated",Q72="No",R72="Valid"),"Ready","Hold")</x:f>
        <x:v>Ready</x:v>
      </x:c>
      <x:c r="V72" s="507" t="str">
        <x:f>IF(U72="Ready","No action",IF(K72="Yes","Resolve duplicate and confirm surviving record",IF(L72="Yes","Populate and validate email","Complete remediation and validation")))</x:f>
        <x:v>No action</x:v>
      </x:c>
    </x:row>
    <x:row r="73">
      <x:c r="A73" s="505" t="n">
        <x:v>1073</x:v>
      </x:c>
      <x:c r="B73" s="506" t="str">
        <x:v>Emp73</x:v>
      </x:c>
      <x:c r="C73" s="506" t="str">
        <x:v>User73</x:v>
      </x:c>
      <x:c r="D73" s="506" t="str">
        <x:v>USA</x:v>
      </x:c>
      <x:c r="E73" s="506" t="str">
        <x:v>Marketing</x:v>
      </x:c>
      <x:c r="F73" s="506" t="str">
        <x:v>emp73@company.com</x:v>
      </x:c>
      <x:c r="G73" s="506" t="str">
        <x:v>emp73</x:v>
      </x:c>
      <x:c r="H73" s="506" t="str">
        <x:v>BHR73</x:v>
      </x:c>
      <x:c r="I73" s="506" t="str">
        <x:v>MAC73</x:v>
      </x:c>
      <x:c r="J73" s="506" t="str">
        <x:v>XY73</x:v>
      </x:c>
      <x:c r="K73" s="506" t="str">
        <x:v>No</x:v>
      </x:c>
      <x:c r="L73" s="506" t="str">
        <x:v>No</x:v>
      </x:c>
      <x:c r="M73" s="506" t="str">
        <x:v>Clean</x:v>
      </x:c>
      <x:c r="N73" s="506" t="str">
        <x:v>Xytech</x:v>
      </x:c>
      <x:c r="O73" s="506" t="str">
        <x:v>Confirmed</x:v>
      </x:c>
      <x:c r="P73" s="506" t="str">
        <x:v>Validated</x:v>
      </x:c>
      <x:c r="Q73" s="506" t="str">
        <x:f>IF(OR(COUNTIF($A$2:$A$201,A73)&gt;1,COUNTIF($G$2:$G$201,G73)&gt;1,AND(F73&lt;&gt;"",COUNTIF($F$2:$F$201,F73)&gt;1),COUNTIF($H$2:$H$201,H73)&gt;1,COUNTIF($I$2:$I$201,I73)&gt;1,COUNTIF($J$2:$J$201,J73)&gt;1),"Yes","No")</x:f>
        <x:v>No</x:v>
      </x:c>
      <x:c r="R73" s="506" t="str">
        <x:f>IF(F73="","Missing",IF(AND(ISNUMBER(SEARCH("@",F73)),ISNUMBER(SEARCH(".",F73))),"Valid","Invalid"))</x:f>
        <x:v>Valid</x:v>
      </x:c>
      <x:c r="S73" s="506" t="n">
        <x:f>IF(K73="Yes",1,0)+IF(L73="Yes",1,0)+IF(M73&lt;&gt;"Clean",1,0)+IF(O73&lt;&gt;"Confirmed",1,0)+IF(P73&lt;&gt;"Validated",1,0)+IF(Q73="Yes",1,0)+IF(R73&lt;&gt;"Valid",1,0)</x:f>
        <x:v>0</x:v>
      </x:c>
      <x:c r="T73" s="517" t="n">
        <x:f>MAX(0,1-S73/7)</x:f>
        <x:v>1</x:v>
      </x:c>
      <x:c r="U73" s="506" t="str">
        <x:f>IF(AND(K73="No",L73="No",M73="Clean",O73="Confirmed",P73="Validated",Q73="No",R73="Valid"),"Ready","Hold")</x:f>
        <x:v>Ready</x:v>
      </x:c>
      <x:c r="V73" s="507" t="str">
        <x:f>IF(U73="Ready","No action",IF(K73="Yes","Resolve duplicate and confirm surviving record",IF(L73="Yes","Populate and validate email","Complete remediation and validation")))</x:f>
        <x:v>No action</x:v>
      </x:c>
    </x:row>
    <x:row r="74">
      <x:c r="A74" s="505" t="n">
        <x:v>1074</x:v>
      </x:c>
      <x:c r="B74" s="506" t="str">
        <x:v>Emp74</x:v>
      </x:c>
      <x:c r="C74" s="506" t="str">
        <x:v>User74</x:v>
      </x:c>
      <x:c r="D74" s="506" t="str">
        <x:v>Canada</x:v>
      </x:c>
      <x:c r="E74" s="506" t="str">
        <x:v>HR</x:v>
      </x:c>
      <x:c r="F74" s="506" t="str">
        <x:v>emp74@company.com</x:v>
      </x:c>
      <x:c r="G74" s="506" t="str">
        <x:v>emp74</x:v>
      </x:c>
      <x:c r="H74" s="506" t="str">
        <x:v>BHR74</x:v>
      </x:c>
      <x:c r="I74" s="506" t="str">
        <x:v>MAC74</x:v>
      </x:c>
      <x:c r="J74" s="506" t="str">
        <x:v>XY74</x:v>
      </x:c>
      <x:c r="K74" s="506" t="str">
        <x:v>Yes</x:v>
      </x:c>
      <x:c r="L74" s="506" t="str">
        <x:v>No</x:v>
      </x:c>
      <x:c r="M74" s="506" t="str">
        <x:v>Issue</x:v>
      </x:c>
      <x:c r="N74" s="506" t="str">
        <x:v>BambooHR</x:v>
      </x:c>
      <x:c r="O74" s="506" t="str">
        <x:v>Pending</x:v>
      </x:c>
      <x:c r="P74" s="506" t="str">
        <x:v>Pending</x:v>
      </x:c>
      <x:c r="Q74" s="506" t="str">
        <x:f>IF(OR(COUNTIF($A$2:$A$201,A74)&gt;1,COUNTIF($G$2:$G$201,G74)&gt;1,AND(F74&lt;&gt;"",COUNTIF($F$2:$F$201,F74)&gt;1),COUNTIF($H$2:$H$201,H74)&gt;1,COUNTIF($I$2:$I$201,I74)&gt;1,COUNTIF($J$2:$J$201,J74)&gt;1),"Yes","No")</x:f>
        <x:v>No</x:v>
      </x:c>
      <x:c r="R74" s="506" t="str">
        <x:f>IF(F74="","Missing",IF(AND(ISNUMBER(SEARCH("@",F74)),ISNUMBER(SEARCH(".",F74))),"Valid","Invalid"))</x:f>
        <x:v>Valid</x:v>
      </x:c>
      <x:c r="S74" s="506" t="n">
        <x:f>IF(K74="Yes",1,0)+IF(L74="Yes",1,0)+IF(M74&lt;&gt;"Clean",1,0)+IF(O74&lt;&gt;"Confirmed",1,0)+IF(P74&lt;&gt;"Validated",1,0)+IF(Q74="Yes",1,0)+IF(R74&lt;&gt;"Valid",1,0)</x:f>
        <x:v>4</x:v>
      </x:c>
      <x:c r="T74" s="517" t="n">
        <x:f>MAX(0,1-S74/7)</x:f>
        <x:v>0.4285714285714286</x:v>
      </x:c>
      <x:c r="U74" s="506" t="str">
        <x:f>IF(AND(K74="No",L74="No",M74="Clean",O74="Confirmed",P74="Validated",Q74="No",R74="Valid"),"Ready","Hold")</x:f>
        <x:v>Hold</x:v>
      </x:c>
      <x:c r="V74" s="507" t="str">
        <x:f>IF(U74="Ready","No action",IF(K74="Yes","Resolve duplicate and confirm surviving record",IF(L74="Yes","Populate and validate email","Complete remediation and validation")))</x:f>
        <x:v>Resolve duplicate and confirm surviving record</x:v>
      </x:c>
    </x:row>
    <x:row r="75">
      <x:c r="A75" s="505" t="n">
        <x:v>1075</x:v>
      </x:c>
      <x:c r="B75" s="506" t="str">
        <x:v>Emp75</x:v>
      </x:c>
      <x:c r="C75" s="506" t="str">
        <x:v>User75</x:v>
      </x:c>
      <x:c r="D75" s="506" t="str">
        <x:v>Germany</x:v>
      </x:c>
      <x:c r="E75" s="506" t="str">
        <x:v>Finance</x:v>
      </x:c>
      <x:c r="F75" s="506" t="str">
        <x:v>emp75@company.com</x:v>
      </x:c>
      <x:c r="G75" s="506" t="str">
        <x:v>emp75</x:v>
      </x:c>
      <x:c r="H75" s="506" t="str">
        <x:v>BHR75</x:v>
      </x:c>
      <x:c r="I75" s="506" t="str">
        <x:v>MAC75</x:v>
      </x:c>
      <x:c r="J75" s="506" t="str">
        <x:v>XY75</x:v>
      </x:c>
      <x:c r="K75" s="506" t="str">
        <x:v>No</x:v>
      </x:c>
      <x:c r="L75" s="506" t="str">
        <x:v>No</x:v>
      </x:c>
      <x:c r="M75" s="506" t="str">
        <x:v>Clean</x:v>
      </x:c>
      <x:c r="N75" s="506" t="str">
        <x:v>Active Directory</x:v>
      </x:c>
      <x:c r="O75" s="506" t="str">
        <x:v>Confirmed</x:v>
      </x:c>
      <x:c r="P75" s="506" t="str">
        <x:v>Validated</x:v>
      </x:c>
      <x:c r="Q75" s="506" t="str">
        <x:f>IF(OR(COUNTIF($A$2:$A$201,A75)&gt;1,COUNTIF($G$2:$G$201,G75)&gt;1,AND(F75&lt;&gt;"",COUNTIF($F$2:$F$201,F75)&gt;1),COUNTIF($H$2:$H$201,H75)&gt;1,COUNTIF($I$2:$I$201,I75)&gt;1,COUNTIF($J$2:$J$201,J75)&gt;1),"Yes","No")</x:f>
        <x:v>No</x:v>
      </x:c>
      <x:c r="R75" s="506" t="str">
        <x:f>IF(F75="","Missing",IF(AND(ISNUMBER(SEARCH("@",F75)),ISNUMBER(SEARCH(".",F75))),"Valid","Invalid"))</x:f>
        <x:v>Valid</x:v>
      </x:c>
      <x:c r="S75" s="506" t="n">
        <x:f>IF(K75="Yes",1,0)+IF(L75="Yes",1,0)+IF(M75&lt;&gt;"Clean",1,0)+IF(O75&lt;&gt;"Confirmed",1,0)+IF(P75&lt;&gt;"Validated",1,0)+IF(Q75="Yes",1,0)+IF(R75&lt;&gt;"Valid",1,0)</x:f>
        <x:v>0</x:v>
      </x:c>
      <x:c r="T75" s="517" t="n">
        <x:f>MAX(0,1-S75/7)</x:f>
        <x:v>1</x:v>
      </x:c>
      <x:c r="U75" s="506" t="str">
        <x:f>IF(AND(K75="No",L75="No",M75="Clean",O75="Confirmed",P75="Validated",Q75="No",R75="Valid"),"Ready","Hold")</x:f>
        <x:v>Ready</x:v>
      </x:c>
      <x:c r="V75" s="507" t="str">
        <x:f>IF(U75="Ready","No action",IF(K75="Yes","Resolve duplicate and confirm surviving record",IF(L75="Yes","Populate and validate email","Complete remediation and validation")))</x:f>
        <x:v>No action</x:v>
      </x:c>
    </x:row>
    <x:row r="76">
      <x:c r="A76" s="505" t="n">
        <x:v>1076</x:v>
      </x:c>
      <x:c r="B76" s="506" t="str">
        <x:v>Emp76</x:v>
      </x:c>
      <x:c r="C76" s="506" t="str">
        <x:v>User76</x:v>
      </x:c>
      <x:c r="D76" s="506" t="str">
        <x:v>India</x:v>
      </x:c>
      <x:c r="E76" s="506" t="str">
        <x:v>IT</x:v>
      </x:c>
      <x:c r="F76" s="506" t="str">
        <x:v>emp76@company.com</x:v>
      </x:c>
      <x:c r="G76" s="506" t="str">
        <x:v>emp76</x:v>
      </x:c>
      <x:c r="H76" s="506" t="str">
        <x:v>BHR76</x:v>
      </x:c>
      <x:c r="I76" s="506" t="str">
        <x:v>MAC76</x:v>
      </x:c>
      <x:c r="J76" s="506" t="str">
        <x:v>XY76</x:v>
      </x:c>
      <x:c r="K76" s="506" t="str">
        <x:v>No</x:v>
      </x:c>
      <x:c r="L76" s="506" t="str">
        <x:v>No</x:v>
      </x:c>
      <x:c r="M76" s="506" t="str">
        <x:v>Clean</x:v>
      </x:c>
      <x:c r="N76" s="506" t="str">
        <x:v>Maconomy</x:v>
      </x:c>
      <x:c r="O76" s="506" t="str">
        <x:v>Confirmed</x:v>
      </x:c>
      <x:c r="P76" s="506" t="str">
        <x:v>Validated</x:v>
      </x:c>
      <x:c r="Q76" s="506" t="str">
        <x:f>IF(OR(COUNTIF($A$2:$A$201,A76)&gt;1,COUNTIF($G$2:$G$201,G76)&gt;1,AND(F76&lt;&gt;"",COUNTIF($F$2:$F$201,F76)&gt;1),COUNTIF($H$2:$H$201,H76)&gt;1,COUNTIF($I$2:$I$201,I76)&gt;1,COUNTIF($J$2:$J$201,J76)&gt;1),"Yes","No")</x:f>
        <x:v>No</x:v>
      </x:c>
      <x:c r="R76" s="506" t="str">
        <x:f>IF(F76="","Missing",IF(AND(ISNUMBER(SEARCH("@",F76)),ISNUMBER(SEARCH(".",F76))),"Valid","Invalid"))</x:f>
        <x:v>Valid</x:v>
      </x:c>
      <x:c r="S76" s="506" t="n">
        <x:f>IF(K76="Yes",1,0)+IF(L76="Yes",1,0)+IF(M76&lt;&gt;"Clean",1,0)+IF(O76&lt;&gt;"Confirmed",1,0)+IF(P76&lt;&gt;"Validated",1,0)+IF(Q76="Yes",1,0)+IF(R76&lt;&gt;"Valid",1,0)</x:f>
        <x:v>0</x:v>
      </x:c>
      <x:c r="T76" s="517" t="n">
        <x:f>MAX(0,1-S76/7)</x:f>
        <x:v>1</x:v>
      </x:c>
      <x:c r="U76" s="506" t="str">
        <x:f>IF(AND(K76="No",L76="No",M76="Clean",O76="Confirmed",P76="Validated",Q76="No",R76="Valid"),"Ready","Hold")</x:f>
        <x:v>Ready</x:v>
      </x:c>
      <x:c r="V76" s="507" t="str">
        <x:f>IF(U76="Ready","No action",IF(K76="Yes","Resolve duplicate and confirm surviving record",IF(L76="Yes","Populate and validate email","Complete remediation and validation")))</x:f>
        <x:v>No action</x:v>
      </x:c>
    </x:row>
    <x:row r="77">
      <x:c r="A77" s="505" t="n">
        <x:v>1077</x:v>
      </x:c>
      <x:c r="B77" s="506" t="str">
        <x:v>Emp77</x:v>
      </x:c>
      <x:c r="C77" s="506" t="str">
        <x:v>User77</x:v>
      </x:c>
      <x:c r="D77" s="506" t="str">
        <x:v>Australia</x:v>
      </x:c>
      <x:c r="E77" s="506" t="str">
        <x:v>Operations</x:v>
      </x:c>
      <x:c r="F77" s="506" t="str">
        <x:v>emp77@company.com</x:v>
      </x:c>
      <x:c r="G77" s="506" t="str">
        <x:v>emp77</x:v>
      </x:c>
      <x:c r="H77" s="506" t="str">
        <x:v>BHR77</x:v>
      </x:c>
      <x:c r="I77" s="506" t="str">
        <x:v>MAC77</x:v>
      </x:c>
      <x:c r="J77" s="506" t="str">
        <x:v>XY77</x:v>
      </x:c>
      <x:c r="K77" s="506" t="str">
        <x:v>No</x:v>
      </x:c>
      <x:c r="L77" s="506" t="str">
        <x:v>No</x:v>
      </x:c>
      <x:c r="M77" s="506" t="str">
        <x:v>Clean</x:v>
      </x:c>
      <x:c r="N77" s="506" t="str">
        <x:v>Xytech</x:v>
      </x:c>
      <x:c r="O77" s="506" t="str">
        <x:v>Confirmed</x:v>
      </x:c>
      <x:c r="P77" s="506" t="str">
        <x:v>Validated</x:v>
      </x:c>
      <x:c r="Q77" s="506" t="str">
        <x:f>IF(OR(COUNTIF($A$2:$A$201,A77)&gt;1,COUNTIF($G$2:$G$201,G77)&gt;1,AND(F77&lt;&gt;"",COUNTIF($F$2:$F$201,F77)&gt;1),COUNTIF($H$2:$H$201,H77)&gt;1,COUNTIF($I$2:$I$201,I77)&gt;1,COUNTIF($J$2:$J$201,J77)&gt;1),"Yes","No")</x:f>
        <x:v>No</x:v>
      </x:c>
      <x:c r="R77" s="506" t="str">
        <x:f>IF(F77="","Missing",IF(AND(ISNUMBER(SEARCH("@",F77)),ISNUMBER(SEARCH(".",F77))),"Valid","Invalid"))</x:f>
        <x:v>Valid</x:v>
      </x:c>
      <x:c r="S77" s="506" t="n">
        <x:f>IF(K77="Yes",1,0)+IF(L77="Yes",1,0)+IF(M77&lt;&gt;"Clean",1,0)+IF(O77&lt;&gt;"Confirmed",1,0)+IF(P77&lt;&gt;"Validated",1,0)+IF(Q77="Yes",1,0)+IF(R77&lt;&gt;"Valid",1,0)</x:f>
        <x:v>0</x:v>
      </x:c>
      <x:c r="T77" s="517" t="n">
        <x:f>MAX(0,1-S77/7)</x:f>
        <x:v>1</x:v>
      </x:c>
      <x:c r="U77" s="506" t="str">
        <x:f>IF(AND(K77="No",L77="No",M77="Clean",O77="Confirmed",P77="Validated",Q77="No",R77="Valid"),"Ready","Hold")</x:f>
        <x:v>Ready</x:v>
      </x:c>
      <x:c r="V77" s="507" t="str">
        <x:f>IF(U77="Ready","No action",IF(K77="Yes","Resolve duplicate and confirm surviving record",IF(L77="Yes","Populate and validate email","Complete remediation and validation")))</x:f>
        <x:v>No action</x:v>
      </x:c>
    </x:row>
    <x:row r="78">
      <x:c r="A78" s="505" t="n">
        <x:v>1078</x:v>
      </x:c>
      <x:c r="B78" s="506" t="str">
        <x:v>Emp78</x:v>
      </x:c>
      <x:c r="C78" s="506" t="str">
        <x:v>User78</x:v>
      </x:c>
      <x:c r="D78" s="506" t="str">
        <x:v>UAE</x:v>
      </x:c>
      <x:c r="E78" s="506" t="str">
        <x:v>Sales</x:v>
      </x:c>
      <x:c r="F78" s="506" t="str">
        <x:v>emp78@company.com</x:v>
      </x:c>
      <x:c r="G78" s="506" t="str">
        <x:v>emp78</x:v>
      </x:c>
      <x:c r="H78" s="506" t="str">
        <x:v>BHR78</x:v>
      </x:c>
      <x:c r="I78" s="506" t="str">
        <x:v>MAC78</x:v>
      </x:c>
      <x:c r="J78" s="506" t="str">
        <x:v>XY78</x:v>
      </x:c>
      <x:c r="K78" s="506" t="str">
        <x:v>No</x:v>
      </x:c>
      <x:c r="L78" s="506" t="str">
        <x:v>No</x:v>
      </x:c>
      <x:c r="M78" s="506" t="str">
        <x:v>Clean</x:v>
      </x:c>
      <x:c r="N78" s="506" t="str">
        <x:v>BambooHR</x:v>
      </x:c>
      <x:c r="O78" s="506" t="str">
        <x:v>Confirmed</x:v>
      </x:c>
      <x:c r="P78" s="506" t="str">
        <x:v>Validated</x:v>
      </x:c>
      <x:c r="Q78" s="506" t="str">
        <x:f>IF(OR(COUNTIF($A$2:$A$201,A78)&gt;1,COUNTIF($G$2:$G$201,G78)&gt;1,AND(F78&lt;&gt;"",COUNTIF($F$2:$F$201,F78)&gt;1),COUNTIF($H$2:$H$201,H78)&gt;1,COUNTIF($I$2:$I$201,I78)&gt;1,COUNTIF($J$2:$J$201,J78)&gt;1),"Yes","No")</x:f>
        <x:v>No</x:v>
      </x:c>
      <x:c r="R78" s="506" t="str">
        <x:f>IF(F78="","Missing",IF(AND(ISNUMBER(SEARCH("@",F78)),ISNUMBER(SEARCH(".",F78))),"Valid","Invalid"))</x:f>
        <x:v>Valid</x:v>
      </x:c>
      <x:c r="S78" s="506" t="n">
        <x:f>IF(K78="Yes",1,0)+IF(L78="Yes",1,0)+IF(M78&lt;&gt;"Clean",1,0)+IF(O78&lt;&gt;"Confirmed",1,0)+IF(P78&lt;&gt;"Validated",1,0)+IF(Q78="Yes",1,0)+IF(R78&lt;&gt;"Valid",1,0)</x:f>
        <x:v>0</x:v>
      </x:c>
      <x:c r="T78" s="517" t="n">
        <x:f>MAX(0,1-S78/7)</x:f>
        <x:v>1</x:v>
      </x:c>
      <x:c r="U78" s="506" t="str">
        <x:f>IF(AND(K78="No",L78="No",M78="Clean",O78="Confirmed",P78="Validated",Q78="No",R78="Valid"),"Ready","Hold")</x:f>
        <x:v>Ready</x:v>
      </x:c>
      <x:c r="V78" s="507" t="str">
        <x:f>IF(U78="Ready","No action",IF(K78="Yes","Resolve duplicate and confirm surviving record",IF(L78="Yes","Populate and validate email","Complete remediation and validation")))</x:f>
        <x:v>No action</x:v>
      </x:c>
    </x:row>
    <x:row r="79">
      <x:c r="A79" s="505" t="n">
        <x:v>1079</x:v>
      </x:c>
      <x:c r="B79" s="506" t="str">
        <x:v>Emp79</x:v>
      </x:c>
      <x:c r="C79" s="506" t="str">
        <x:v>User79</x:v>
      </x:c>
      <x:c r="D79" s="506" t="str">
        <x:v>France</x:v>
      </x:c>
      <x:c r="E79" s="506" t="str">
        <x:v>Marketing</x:v>
      </x:c>
      <x:c r="F79" s="506" t="str">
        <x:v>emp79@company.com</x:v>
      </x:c>
      <x:c r="G79" s="506" t="str">
        <x:v>emp79</x:v>
      </x:c>
      <x:c r="H79" s="506" t="str">
        <x:v>BHR79</x:v>
      </x:c>
      <x:c r="I79" s="506" t="str">
        <x:v>MAC79</x:v>
      </x:c>
      <x:c r="J79" s="506" t="str">
        <x:v>XY79</x:v>
      </x:c>
      <x:c r="K79" s="506" t="str">
        <x:v>No</x:v>
      </x:c>
      <x:c r="L79" s="506" t="str">
        <x:v>No</x:v>
      </x:c>
      <x:c r="M79" s="506" t="str">
        <x:v>Clean</x:v>
      </x:c>
      <x:c r="N79" s="506" t="str">
        <x:v>Active Directory</x:v>
      </x:c>
      <x:c r="O79" s="506" t="str">
        <x:v>Confirmed</x:v>
      </x:c>
      <x:c r="P79" s="506" t="str">
        <x:v>Validated</x:v>
      </x:c>
      <x:c r="Q79" s="506" t="str">
        <x:f>IF(OR(COUNTIF($A$2:$A$201,A79)&gt;1,COUNTIF($G$2:$G$201,G79)&gt;1,AND(F79&lt;&gt;"",COUNTIF($F$2:$F$201,F79)&gt;1),COUNTIF($H$2:$H$201,H79)&gt;1,COUNTIF($I$2:$I$201,I79)&gt;1,COUNTIF($J$2:$J$201,J79)&gt;1),"Yes","No")</x:f>
        <x:v>No</x:v>
      </x:c>
      <x:c r="R79" s="506" t="str">
        <x:f>IF(F79="","Missing",IF(AND(ISNUMBER(SEARCH("@",F79)),ISNUMBER(SEARCH(".",F79))),"Valid","Invalid"))</x:f>
        <x:v>Valid</x:v>
      </x:c>
      <x:c r="S79" s="506" t="n">
        <x:f>IF(K79="Yes",1,0)+IF(L79="Yes",1,0)+IF(M79&lt;&gt;"Clean",1,0)+IF(O79&lt;&gt;"Confirmed",1,0)+IF(P79&lt;&gt;"Validated",1,0)+IF(Q79="Yes",1,0)+IF(R79&lt;&gt;"Valid",1,0)</x:f>
        <x:v>0</x:v>
      </x:c>
      <x:c r="T79" s="517" t="n">
        <x:f>MAX(0,1-S79/7)</x:f>
        <x:v>1</x:v>
      </x:c>
      <x:c r="U79" s="506" t="str">
        <x:f>IF(AND(K79="No",L79="No",M79="Clean",O79="Confirmed",P79="Validated",Q79="No",R79="Valid"),"Ready","Hold")</x:f>
        <x:v>Ready</x:v>
      </x:c>
      <x:c r="V79" s="507" t="str">
        <x:f>IF(U79="Ready","No action",IF(K79="Yes","Resolve duplicate and confirm surviving record",IF(L79="Yes","Populate and validate email","Complete remediation and validation")))</x:f>
        <x:v>No action</x:v>
      </x:c>
    </x:row>
    <x:row r="80">
      <x:c r="A80" s="505" t="n">
        <x:v>1080</x:v>
      </x:c>
      <x:c r="B80" s="506" t="str">
        <x:v>Emp80</x:v>
      </x:c>
      <x:c r="C80" s="506" t="str">
        <x:v>User80</x:v>
      </x:c>
      <x:c r="D80" s="506" t="str">
        <x:v>Nigeria</x:v>
      </x:c>
      <x:c r="E80" s="506" t="str">
        <x:v>HR</x:v>
      </x:c>
      <x:c r="F80" s="506" t="str">
        <x:v>emp80@company.com</x:v>
      </x:c>
      <x:c r="G80" s="506" t="str">
        <x:v>emp80</x:v>
      </x:c>
      <x:c r="H80" s="506" t="str">
        <x:v>BHR80</x:v>
      </x:c>
      <x:c r="I80" s="506" t="str">
        <x:v>MAC80</x:v>
      </x:c>
      <x:c r="J80" s="506" t="str">
        <x:v>XY80</x:v>
      </x:c>
      <x:c r="K80" s="506" t="str">
        <x:v>No</x:v>
      </x:c>
      <x:c r="L80" s="506" t="str">
        <x:v>No</x:v>
      </x:c>
      <x:c r="M80" s="506" t="str">
        <x:v>Clean</x:v>
      </x:c>
      <x:c r="N80" s="506" t="str">
        <x:v>Maconomy</x:v>
      </x:c>
      <x:c r="O80" s="506" t="str">
        <x:v>Confirmed</x:v>
      </x:c>
      <x:c r="P80" s="506" t="str">
        <x:v>Validated</x:v>
      </x:c>
      <x:c r="Q80" s="506" t="str">
        <x:f>IF(OR(COUNTIF($A$2:$A$201,A80)&gt;1,COUNTIF($G$2:$G$201,G80)&gt;1,AND(F80&lt;&gt;"",COUNTIF($F$2:$F$201,F80)&gt;1),COUNTIF($H$2:$H$201,H80)&gt;1,COUNTIF($I$2:$I$201,I80)&gt;1,COUNTIF($J$2:$J$201,J80)&gt;1),"Yes","No")</x:f>
        <x:v>No</x:v>
      </x:c>
      <x:c r="R80" s="506" t="str">
        <x:f>IF(F80="","Missing",IF(AND(ISNUMBER(SEARCH("@",F80)),ISNUMBER(SEARCH(".",F80))),"Valid","Invalid"))</x:f>
        <x:v>Valid</x:v>
      </x:c>
      <x:c r="S80" s="506" t="n">
        <x:f>IF(K80="Yes",1,0)+IF(L80="Yes",1,0)+IF(M80&lt;&gt;"Clean",1,0)+IF(O80&lt;&gt;"Confirmed",1,0)+IF(P80&lt;&gt;"Validated",1,0)+IF(Q80="Yes",1,0)+IF(R80&lt;&gt;"Valid",1,0)</x:f>
        <x:v>0</x:v>
      </x:c>
      <x:c r="T80" s="517" t="n">
        <x:f>MAX(0,1-S80/7)</x:f>
        <x:v>1</x:v>
      </x:c>
      <x:c r="U80" s="506" t="str">
        <x:f>IF(AND(K80="No",L80="No",M80="Clean",O80="Confirmed",P80="Validated",Q80="No",R80="Valid"),"Ready","Hold")</x:f>
        <x:v>Ready</x:v>
      </x:c>
      <x:c r="V80" s="507" t="str">
        <x:f>IF(U80="Ready","No action",IF(K80="Yes","Resolve duplicate and confirm surviving record",IF(L80="Yes","Populate and validate email","Complete remediation and validation")))</x:f>
        <x:v>No action</x:v>
      </x:c>
    </x:row>
    <x:row r="81">
      <x:c r="A81" s="505" t="n">
        <x:v>1081</x:v>
      </x:c>
      <x:c r="B81" s="506" t="str">
        <x:v>Emp81</x:v>
      </x:c>
      <x:c r="C81" s="506" t="str">
        <x:v>User81</x:v>
      </x:c>
      <x:c r="D81" s="506" t="str">
        <x:v>Gambia</x:v>
      </x:c>
      <x:c r="E81" s="506" t="str">
        <x:v>Finance</x:v>
      </x:c>
      <x:c r="F81" s="506" t="str">
        <x:v>emp81@company.com</x:v>
      </x:c>
      <x:c r="G81" s="506" t="str">
        <x:v>emp81</x:v>
      </x:c>
      <x:c r="H81" s="506" t="str">
        <x:v>BHR81</x:v>
      </x:c>
      <x:c r="I81" s="506" t="str">
        <x:v>MAC81</x:v>
      </x:c>
      <x:c r="J81" s="506" t="str">
        <x:v>XY81</x:v>
      </x:c>
      <x:c r="K81" s="506" t="str">
        <x:v>No</x:v>
      </x:c>
      <x:c r="L81" s="506" t="str">
        <x:v>No</x:v>
      </x:c>
      <x:c r="M81" s="506" t="str">
        <x:v>Clean</x:v>
      </x:c>
      <x:c r="N81" s="506" t="str">
        <x:v>Xytech</x:v>
      </x:c>
      <x:c r="O81" s="506" t="str">
        <x:v>Confirmed</x:v>
      </x:c>
      <x:c r="P81" s="506" t="str">
        <x:v>Validated</x:v>
      </x:c>
      <x:c r="Q81" s="506" t="str">
        <x:f>IF(OR(COUNTIF($A$2:$A$201,A81)&gt;1,COUNTIF($G$2:$G$201,G81)&gt;1,AND(F81&lt;&gt;"",COUNTIF($F$2:$F$201,F81)&gt;1),COUNTIF($H$2:$H$201,H81)&gt;1,COUNTIF($I$2:$I$201,I81)&gt;1,COUNTIF($J$2:$J$201,J81)&gt;1),"Yes","No")</x:f>
        <x:v>No</x:v>
      </x:c>
      <x:c r="R81" s="506" t="str">
        <x:f>IF(F81="","Missing",IF(AND(ISNUMBER(SEARCH("@",F81)),ISNUMBER(SEARCH(".",F81))),"Valid","Invalid"))</x:f>
        <x:v>Valid</x:v>
      </x:c>
      <x:c r="S81" s="506" t="n">
        <x:f>IF(K81="Yes",1,0)+IF(L81="Yes",1,0)+IF(M81&lt;&gt;"Clean",1,0)+IF(O81&lt;&gt;"Confirmed",1,0)+IF(P81&lt;&gt;"Validated",1,0)+IF(Q81="Yes",1,0)+IF(R81&lt;&gt;"Valid",1,0)</x:f>
        <x:v>0</x:v>
      </x:c>
      <x:c r="T81" s="517" t="n">
        <x:f>MAX(0,1-S81/7)</x:f>
        <x:v>1</x:v>
      </x:c>
      <x:c r="U81" s="506" t="str">
        <x:f>IF(AND(K81="No",L81="No",M81="Clean",O81="Confirmed",P81="Validated",Q81="No",R81="Valid"),"Ready","Hold")</x:f>
        <x:v>Ready</x:v>
      </x:c>
      <x:c r="V81" s="507" t="str">
        <x:f>IF(U81="Ready","No action",IF(K81="Yes","Resolve duplicate and confirm surviving record",IF(L81="Yes","Populate and validate email","Complete remediation and validation")))</x:f>
        <x:v>No action</x:v>
      </x:c>
    </x:row>
    <x:row r="82">
      <x:c r="A82" s="505" t="n">
        <x:v>1082</x:v>
      </x:c>
      <x:c r="B82" s="506" t="str">
        <x:v>Emp82</x:v>
      </x:c>
      <x:c r="C82" s="506" t="str">
        <x:v>User82</x:v>
      </x:c>
      <x:c r="D82" s="506" t="str">
        <x:v>Spain</x:v>
      </x:c>
      <x:c r="E82" s="506" t="str">
        <x:v>IT</x:v>
      </x:c>
      <x:c r="F82" s="506" t="str">
        <x:v>emp82@company.com</x:v>
      </x:c>
      <x:c r="G82" s="506" t="str">
        <x:v>emp82</x:v>
      </x:c>
      <x:c r="H82" s="506" t="str">
        <x:v>BHR82</x:v>
      </x:c>
      <x:c r="I82" s="506" t="str">
        <x:v>MAC82</x:v>
      </x:c>
      <x:c r="J82" s="506" t="str">
        <x:v>XY82</x:v>
      </x:c>
      <x:c r="K82" s="506" t="str">
        <x:v>No</x:v>
      </x:c>
      <x:c r="L82" s="506" t="str">
        <x:v>No</x:v>
      </x:c>
      <x:c r="M82" s="506" t="str">
        <x:v>Clean</x:v>
      </x:c>
      <x:c r="N82" s="506" t="str">
        <x:v>BambooHR</x:v>
      </x:c>
      <x:c r="O82" s="506" t="str">
        <x:v>Confirmed</x:v>
      </x:c>
      <x:c r="P82" s="506" t="str">
        <x:v>Validated</x:v>
      </x:c>
      <x:c r="Q82" s="506" t="str">
        <x:f>IF(OR(COUNTIF($A$2:$A$201,A82)&gt;1,COUNTIF($G$2:$G$201,G82)&gt;1,AND(F82&lt;&gt;"",COUNTIF($F$2:$F$201,F82)&gt;1),COUNTIF($H$2:$H$201,H82)&gt;1,COUNTIF($I$2:$I$201,I82)&gt;1,COUNTIF($J$2:$J$201,J82)&gt;1),"Yes","No")</x:f>
        <x:v>No</x:v>
      </x:c>
      <x:c r="R82" s="506" t="str">
        <x:f>IF(F82="","Missing",IF(AND(ISNUMBER(SEARCH("@",F82)),ISNUMBER(SEARCH(".",F82))),"Valid","Invalid"))</x:f>
        <x:v>Valid</x:v>
      </x:c>
      <x:c r="S82" s="506" t="n">
        <x:f>IF(K82="Yes",1,0)+IF(L82="Yes",1,0)+IF(M82&lt;&gt;"Clean",1,0)+IF(O82&lt;&gt;"Confirmed",1,0)+IF(P82&lt;&gt;"Validated",1,0)+IF(Q82="Yes",1,0)+IF(R82&lt;&gt;"Valid",1,0)</x:f>
        <x:v>0</x:v>
      </x:c>
      <x:c r="T82" s="517" t="n">
        <x:f>MAX(0,1-S82/7)</x:f>
        <x:v>1</x:v>
      </x:c>
      <x:c r="U82" s="506" t="str">
        <x:f>IF(AND(K82="No",L82="No",M82="Clean",O82="Confirmed",P82="Validated",Q82="No",R82="Valid"),"Ready","Hold")</x:f>
        <x:v>Ready</x:v>
      </x:c>
      <x:c r="V82" s="507" t="str">
        <x:f>IF(U82="Ready","No action",IF(K82="Yes","Resolve duplicate and confirm surviving record",IF(L82="Yes","Populate and validate email","Complete remediation and validation")))</x:f>
        <x:v>No action</x:v>
      </x:c>
    </x:row>
    <x:row r="83">
      <x:c r="A83" s="505" t="n">
        <x:v>1083</x:v>
      </x:c>
      <x:c r="B83" s="506" t="str">
        <x:v>Emp83</x:v>
      </x:c>
      <x:c r="C83" s="506" t="str">
        <x:v>User83</x:v>
      </x:c>
      <x:c r="D83" s="506" t="str">
        <x:v>Netherlands</x:v>
      </x:c>
      <x:c r="E83" s="506" t="str">
        <x:v>Operations</x:v>
      </x:c>
      <x:c r="F83" s="506" t="str">
        <x:v>emp83@company.com</x:v>
      </x:c>
      <x:c r="G83" s="506" t="str">
        <x:v>emp83</x:v>
      </x:c>
      <x:c r="H83" s="506" t="str">
        <x:v>BHR83</x:v>
      </x:c>
      <x:c r="I83" s="506" t="str">
        <x:v>MAC83</x:v>
      </x:c>
      <x:c r="J83" s="506" t="str">
        <x:v>XY83</x:v>
      </x:c>
      <x:c r="K83" s="506" t="str">
        <x:v>No</x:v>
      </x:c>
      <x:c r="L83" s="506" t="str">
        <x:v>No</x:v>
      </x:c>
      <x:c r="M83" s="506" t="str">
        <x:v>Clean</x:v>
      </x:c>
      <x:c r="N83" s="506" t="str">
        <x:v>Active Directory</x:v>
      </x:c>
      <x:c r="O83" s="506" t="str">
        <x:v>Confirmed</x:v>
      </x:c>
      <x:c r="P83" s="506" t="str">
        <x:v>Validated</x:v>
      </x:c>
      <x:c r="Q83" s="506" t="str">
        <x:f>IF(OR(COUNTIF($A$2:$A$201,A83)&gt;1,COUNTIF($G$2:$G$201,G83)&gt;1,AND(F83&lt;&gt;"",COUNTIF($F$2:$F$201,F83)&gt;1),COUNTIF($H$2:$H$201,H83)&gt;1,COUNTIF($I$2:$I$201,I83)&gt;1,COUNTIF($J$2:$J$201,J83)&gt;1),"Yes","No")</x:f>
        <x:v>No</x:v>
      </x:c>
      <x:c r="R83" s="506" t="str">
        <x:f>IF(F83="","Missing",IF(AND(ISNUMBER(SEARCH("@",F83)),ISNUMBER(SEARCH(".",F83))),"Valid","Invalid"))</x:f>
        <x:v>Valid</x:v>
      </x:c>
      <x:c r="S83" s="506" t="n">
        <x:f>IF(K83="Yes",1,0)+IF(L83="Yes",1,0)+IF(M83&lt;&gt;"Clean",1,0)+IF(O83&lt;&gt;"Confirmed",1,0)+IF(P83&lt;&gt;"Validated",1,0)+IF(Q83="Yes",1,0)+IF(R83&lt;&gt;"Valid",1,0)</x:f>
        <x:v>0</x:v>
      </x:c>
      <x:c r="T83" s="517" t="n">
        <x:f>MAX(0,1-S83/7)</x:f>
        <x:v>1</x:v>
      </x:c>
      <x:c r="U83" s="506" t="str">
        <x:f>IF(AND(K83="No",L83="No",M83="Clean",O83="Confirmed",P83="Validated",Q83="No",R83="Valid"),"Ready","Hold")</x:f>
        <x:v>Ready</x:v>
      </x:c>
      <x:c r="V83" s="507" t="str">
        <x:f>IF(U83="Ready","No action",IF(K83="Yes","Resolve duplicate and confirm surviving record",IF(L83="Yes","Populate and validate email","Complete remediation and validation")))</x:f>
        <x:v>No action</x:v>
      </x:c>
    </x:row>
    <x:row r="84">
      <x:c r="A84" s="505" t="n">
        <x:v>1084</x:v>
      </x:c>
      <x:c r="B84" s="506" t="str">
        <x:v>Emp84</x:v>
      </x:c>
      <x:c r="C84" s="506" t="str">
        <x:v>User84</x:v>
      </x:c>
      <x:c r="D84" s="506" t="str">
        <x:v>Singapore</x:v>
      </x:c>
      <x:c r="E84" s="506" t="str">
        <x:v>Sales</x:v>
      </x:c>
      <x:c r="F84" s="506" t="str">
        <x:v>emp84@company.com</x:v>
      </x:c>
      <x:c r="G84" s="506" t="str">
        <x:v>emp84</x:v>
      </x:c>
      <x:c r="H84" s="506" t="str">
        <x:v>BHR84</x:v>
      </x:c>
      <x:c r="I84" s="506" t="str">
        <x:v>MAC84</x:v>
      </x:c>
      <x:c r="J84" s="506" t="str">
        <x:v>XY84</x:v>
      </x:c>
      <x:c r="K84" s="506" t="str">
        <x:v>No</x:v>
      </x:c>
      <x:c r="L84" s="506" t="str">
        <x:v>No</x:v>
      </x:c>
      <x:c r="M84" s="506" t="str">
        <x:v>Clean</x:v>
      </x:c>
      <x:c r="N84" s="506" t="str">
        <x:v>Maconomy</x:v>
      </x:c>
      <x:c r="O84" s="506" t="str">
        <x:v>Confirmed</x:v>
      </x:c>
      <x:c r="P84" s="506" t="str">
        <x:v>Validated</x:v>
      </x:c>
      <x:c r="Q84" s="506" t="str">
        <x:f>IF(OR(COUNTIF($A$2:$A$201,A84)&gt;1,COUNTIF($G$2:$G$201,G84)&gt;1,AND(F84&lt;&gt;"",COUNTIF($F$2:$F$201,F84)&gt;1),COUNTIF($H$2:$H$201,H84)&gt;1,COUNTIF($I$2:$I$201,I84)&gt;1,COUNTIF($J$2:$J$201,J84)&gt;1),"Yes","No")</x:f>
        <x:v>No</x:v>
      </x:c>
      <x:c r="R84" s="506" t="str">
        <x:f>IF(F84="","Missing",IF(AND(ISNUMBER(SEARCH("@",F84)),ISNUMBER(SEARCH(".",F84))),"Valid","Invalid"))</x:f>
        <x:v>Valid</x:v>
      </x:c>
      <x:c r="S84" s="506" t="n">
        <x:f>IF(K84="Yes",1,0)+IF(L84="Yes",1,0)+IF(M84&lt;&gt;"Clean",1,0)+IF(O84&lt;&gt;"Confirmed",1,0)+IF(P84&lt;&gt;"Validated",1,0)+IF(Q84="Yes",1,0)+IF(R84&lt;&gt;"Valid",1,0)</x:f>
        <x:v>0</x:v>
      </x:c>
      <x:c r="T84" s="517" t="n">
        <x:f>MAX(0,1-S84/7)</x:f>
        <x:v>1</x:v>
      </x:c>
      <x:c r="U84" s="506" t="str">
        <x:f>IF(AND(K84="No",L84="No",M84="Clean",O84="Confirmed",P84="Validated",Q84="No",R84="Valid"),"Ready","Hold")</x:f>
        <x:v>Ready</x:v>
      </x:c>
      <x:c r="V84" s="507" t="str">
        <x:f>IF(U84="Ready","No action",IF(K84="Yes","Resolve duplicate and confirm surviving record",IF(L84="Yes","Populate and validate email","Complete remediation and validation")))</x:f>
        <x:v>No action</x:v>
      </x:c>
    </x:row>
    <x:row r="85">
      <x:c r="A85" s="505" t="n">
        <x:v>1085</x:v>
      </x:c>
      <x:c r="B85" s="506" t="str">
        <x:v>Emp85</x:v>
      </x:c>
      <x:c r="C85" s="506" t="str">
        <x:v>User85</x:v>
      </x:c>
      <x:c r="D85" s="506" t="str">
        <x:v>Brazil</x:v>
      </x:c>
      <x:c r="E85" s="506" t="str">
        <x:v>Marketing</x:v>
      </x:c>
      <x:c r="F85" s="506" t="str">
        <x:v>emp85@company.com</x:v>
      </x:c>
      <x:c r="G85" s="506" t="str">
        <x:v>emp85</x:v>
      </x:c>
      <x:c r="H85" s="506" t="str">
        <x:v>BHR85</x:v>
      </x:c>
      <x:c r="I85" s="506" t="str">
        <x:v>MAC85</x:v>
      </x:c>
      <x:c r="J85" s="506" t="str">
        <x:v>XY85</x:v>
      </x:c>
      <x:c r="K85" s="506" t="str">
        <x:v>No</x:v>
      </x:c>
      <x:c r="L85" s="506" t="str">
        <x:v>No</x:v>
      </x:c>
      <x:c r="M85" s="506" t="str">
        <x:v>Clean</x:v>
      </x:c>
      <x:c r="N85" s="506" t="str">
        <x:v>Xytech</x:v>
      </x:c>
      <x:c r="O85" s="506" t="str">
        <x:v>Confirmed</x:v>
      </x:c>
      <x:c r="P85" s="506" t="str">
        <x:v>Validated</x:v>
      </x:c>
      <x:c r="Q85" s="506" t="str">
        <x:f>IF(OR(COUNTIF($A$2:$A$201,A85)&gt;1,COUNTIF($G$2:$G$201,G85)&gt;1,AND(F85&lt;&gt;"",COUNTIF($F$2:$F$201,F85)&gt;1),COUNTIF($H$2:$H$201,H85)&gt;1,COUNTIF($I$2:$I$201,I85)&gt;1,COUNTIF($J$2:$J$201,J85)&gt;1),"Yes","No")</x:f>
        <x:v>No</x:v>
      </x:c>
      <x:c r="R85" s="506" t="str">
        <x:f>IF(F85="","Missing",IF(AND(ISNUMBER(SEARCH("@",F85)),ISNUMBER(SEARCH(".",F85))),"Valid","Invalid"))</x:f>
        <x:v>Valid</x:v>
      </x:c>
      <x:c r="S85" s="506" t="n">
        <x:f>IF(K85="Yes",1,0)+IF(L85="Yes",1,0)+IF(M85&lt;&gt;"Clean",1,0)+IF(O85&lt;&gt;"Confirmed",1,0)+IF(P85&lt;&gt;"Validated",1,0)+IF(Q85="Yes",1,0)+IF(R85&lt;&gt;"Valid",1,0)</x:f>
        <x:v>0</x:v>
      </x:c>
      <x:c r="T85" s="517" t="n">
        <x:f>MAX(0,1-S85/7)</x:f>
        <x:v>1</x:v>
      </x:c>
      <x:c r="U85" s="506" t="str">
        <x:f>IF(AND(K85="No",L85="No",M85="Clean",O85="Confirmed",P85="Validated",Q85="No",R85="Valid"),"Ready","Hold")</x:f>
        <x:v>Ready</x:v>
      </x:c>
      <x:c r="V85" s="507" t="str">
        <x:f>IF(U85="Ready","No action",IF(K85="Yes","Resolve duplicate and confirm surviving record",IF(L85="Yes","Populate and validate email","Complete remediation and validation")))</x:f>
        <x:v>No action</x:v>
      </x:c>
    </x:row>
    <x:row r="86">
      <x:c r="A86" s="505" t="n">
        <x:v>1086</x:v>
      </x:c>
      <x:c r="B86" s="506" t="str">
        <x:v>Emp86</x:v>
      </x:c>
      <x:c r="C86" s="506" t="str">
        <x:v>User86</x:v>
      </x:c>
      <x:c r="D86" s="506" t="str">
        <x:v>UK</x:v>
      </x:c>
      <x:c r="E86" s="506" t="str">
        <x:v>HR</x:v>
      </x:c>
      <x:c r="F86" s="506" t="str">
        <x:v>emp86@company.com</x:v>
      </x:c>
      <x:c r="G86" s="506" t="str">
        <x:v>emp86</x:v>
      </x:c>
      <x:c r="H86" s="506" t="str">
        <x:v>BHR86</x:v>
      </x:c>
      <x:c r="I86" s="506" t="str">
        <x:v>MAC86</x:v>
      </x:c>
      <x:c r="J86" s="506" t="str">
        <x:v>XY86</x:v>
      </x:c>
      <x:c r="K86" s="506" t="str">
        <x:v>No</x:v>
      </x:c>
      <x:c r="L86" s="506" t="str">
        <x:v>No</x:v>
      </x:c>
      <x:c r="M86" s="506" t="str">
        <x:v>Clean</x:v>
      </x:c>
      <x:c r="N86" s="506" t="str">
        <x:v>BambooHR</x:v>
      </x:c>
      <x:c r="O86" s="506" t="str">
        <x:v>Confirmed</x:v>
      </x:c>
      <x:c r="P86" s="506" t="str">
        <x:v>Validated</x:v>
      </x:c>
      <x:c r="Q86" s="506" t="str">
        <x:f>IF(OR(COUNTIF($A$2:$A$201,A86)&gt;1,COUNTIF($G$2:$G$201,G86)&gt;1,AND(F86&lt;&gt;"",COUNTIF($F$2:$F$201,F86)&gt;1),COUNTIF($H$2:$H$201,H86)&gt;1,COUNTIF($I$2:$I$201,I86)&gt;1,COUNTIF($J$2:$J$201,J86)&gt;1),"Yes","No")</x:f>
        <x:v>No</x:v>
      </x:c>
      <x:c r="R86" s="506" t="str">
        <x:f>IF(F86="","Missing",IF(AND(ISNUMBER(SEARCH("@",F86)),ISNUMBER(SEARCH(".",F86))),"Valid","Invalid"))</x:f>
        <x:v>Valid</x:v>
      </x:c>
      <x:c r="S86" s="506" t="n">
        <x:f>IF(K86="Yes",1,0)+IF(L86="Yes",1,0)+IF(M86&lt;&gt;"Clean",1,0)+IF(O86&lt;&gt;"Confirmed",1,0)+IF(P86&lt;&gt;"Validated",1,0)+IF(Q86="Yes",1,0)+IF(R86&lt;&gt;"Valid",1,0)</x:f>
        <x:v>0</x:v>
      </x:c>
      <x:c r="T86" s="517" t="n">
        <x:f>MAX(0,1-S86/7)</x:f>
        <x:v>1</x:v>
      </x:c>
      <x:c r="U86" s="506" t="str">
        <x:f>IF(AND(K86="No",L86="No",M86="Clean",O86="Confirmed",P86="Validated",Q86="No",R86="Valid"),"Ready","Hold")</x:f>
        <x:v>Ready</x:v>
      </x:c>
      <x:c r="V86" s="507" t="str">
        <x:f>IF(U86="Ready","No action",IF(K86="Yes","Resolve duplicate and confirm surviving record",IF(L86="Yes","Populate and validate email","Complete remediation and validation")))</x:f>
        <x:v>No action</x:v>
      </x:c>
    </x:row>
    <x:row r="87">
      <x:c r="A87" s="505" t="n">
        <x:v>1087</x:v>
      </x:c>
      <x:c r="B87" s="506" t="str">
        <x:v>Emp87</x:v>
      </x:c>
      <x:c r="C87" s="506" t="str">
        <x:v>User87</x:v>
      </x:c>
      <x:c r="D87" s="506" t="str">
        <x:v>USA</x:v>
      </x:c>
      <x:c r="E87" s="506" t="str">
        <x:v>Finance</x:v>
      </x:c>
      <x:c r="F87" s="506"/>
      <x:c r="G87" s="506" t="str">
        <x:v>emp87</x:v>
      </x:c>
      <x:c r="H87" s="506" t="str">
        <x:v>BHR87</x:v>
      </x:c>
      <x:c r="I87" s="506" t="str">
        <x:v>MAC87</x:v>
      </x:c>
      <x:c r="J87" s="506" t="str">
        <x:v>XY87</x:v>
      </x:c>
      <x:c r="K87" s="506" t="str">
        <x:v>No</x:v>
      </x:c>
      <x:c r="L87" s="506" t="str">
        <x:v>Yes</x:v>
      </x:c>
      <x:c r="M87" s="506" t="str">
        <x:v>Issue</x:v>
      </x:c>
      <x:c r="N87" s="506" t="str">
        <x:v>Active Directory</x:v>
      </x:c>
      <x:c r="O87" s="506" t="str">
        <x:v>Pending</x:v>
      </x:c>
      <x:c r="P87" s="506" t="str">
        <x:v>Pending</x:v>
      </x:c>
      <x:c r="Q87" s="506" t="str">
        <x:f>IF(OR(COUNTIF($A$2:$A$201,A87)&gt;1,COUNTIF($G$2:$G$201,G87)&gt;1,AND(F87&lt;&gt;"",COUNTIF($F$2:$F$201,F87)&gt;1),COUNTIF($H$2:$H$201,H87)&gt;1,COUNTIF($I$2:$I$201,I87)&gt;1,COUNTIF($J$2:$J$201,J87)&gt;1),"Yes","No")</x:f>
        <x:v>No</x:v>
      </x:c>
      <x:c r="R87" s="506" t="str">
        <x:f>IF(F87="","Missing",IF(AND(ISNUMBER(SEARCH("@",F87)),ISNUMBER(SEARCH(".",F87))),"Valid","Invalid"))</x:f>
        <x:v>Missing</x:v>
      </x:c>
      <x:c r="S87" s="506" t="n">
        <x:f>IF(K87="Yes",1,0)+IF(L87="Yes",1,0)+IF(M87&lt;&gt;"Clean",1,0)+IF(O87&lt;&gt;"Confirmed",1,0)+IF(P87&lt;&gt;"Validated",1,0)+IF(Q87="Yes",1,0)+IF(R87&lt;&gt;"Valid",1,0)</x:f>
        <x:v>5</x:v>
      </x:c>
      <x:c r="T87" s="517" t="n">
        <x:f>MAX(0,1-S87/7)</x:f>
        <x:v>0.2857142857142857</x:v>
      </x:c>
      <x:c r="U87" s="506" t="str">
        <x:f>IF(AND(K87="No",L87="No",M87="Clean",O87="Confirmed",P87="Validated",Q87="No",R87="Valid"),"Ready","Hold")</x:f>
        <x:v>Hold</x:v>
      </x:c>
      <x:c r="V87" s="507" t="str">
        <x:f>IF(U87="Ready","No action",IF(K87="Yes","Resolve duplicate and confirm surviving record",IF(L87="Yes","Populate and validate email","Complete remediation and validation")))</x:f>
        <x:v>Populate and validate email</x:v>
      </x:c>
    </x:row>
    <x:row r="88">
      <x:c r="A88" s="505" t="n">
        <x:v>1088</x:v>
      </x:c>
      <x:c r="B88" s="506" t="str">
        <x:v>Emp88</x:v>
      </x:c>
      <x:c r="C88" s="506" t="str">
        <x:v>User88</x:v>
      </x:c>
      <x:c r="D88" s="506" t="str">
        <x:v>Canada</x:v>
      </x:c>
      <x:c r="E88" s="506" t="str">
        <x:v>IT</x:v>
      </x:c>
      <x:c r="F88" s="506" t="str">
        <x:v>emp88@company.com</x:v>
      </x:c>
      <x:c r="G88" s="506" t="str">
        <x:v>emp88</x:v>
      </x:c>
      <x:c r="H88" s="506" t="str">
        <x:v>BHR88</x:v>
      </x:c>
      <x:c r="I88" s="506" t="str">
        <x:v>MAC88</x:v>
      </x:c>
      <x:c r="J88" s="506" t="str">
        <x:v>XY88</x:v>
      </x:c>
      <x:c r="K88" s="506" t="str">
        <x:v>No</x:v>
      </x:c>
      <x:c r="L88" s="506" t="str">
        <x:v>No</x:v>
      </x:c>
      <x:c r="M88" s="506" t="str">
        <x:v>Clean</x:v>
      </x:c>
      <x:c r="N88" s="506" t="str">
        <x:v>Maconomy</x:v>
      </x:c>
      <x:c r="O88" s="506" t="str">
        <x:v>Confirmed</x:v>
      </x:c>
      <x:c r="P88" s="506" t="str">
        <x:v>Validated</x:v>
      </x:c>
      <x:c r="Q88" s="506" t="str">
        <x:f>IF(OR(COUNTIF($A$2:$A$201,A88)&gt;1,COUNTIF($G$2:$G$201,G88)&gt;1,AND(F88&lt;&gt;"",COUNTIF($F$2:$F$201,F88)&gt;1),COUNTIF($H$2:$H$201,H88)&gt;1,COUNTIF($I$2:$I$201,I88)&gt;1,COUNTIF($J$2:$J$201,J88)&gt;1),"Yes","No")</x:f>
        <x:v>No</x:v>
      </x:c>
      <x:c r="R88" s="506" t="str">
        <x:f>IF(F88="","Missing",IF(AND(ISNUMBER(SEARCH("@",F88)),ISNUMBER(SEARCH(".",F88))),"Valid","Invalid"))</x:f>
        <x:v>Valid</x:v>
      </x:c>
      <x:c r="S88" s="506" t="n">
        <x:f>IF(K88="Yes",1,0)+IF(L88="Yes",1,0)+IF(M88&lt;&gt;"Clean",1,0)+IF(O88&lt;&gt;"Confirmed",1,0)+IF(P88&lt;&gt;"Validated",1,0)+IF(Q88="Yes",1,0)+IF(R88&lt;&gt;"Valid",1,0)</x:f>
        <x:v>0</x:v>
      </x:c>
      <x:c r="T88" s="517" t="n">
        <x:f>MAX(0,1-S88/7)</x:f>
        <x:v>1</x:v>
      </x:c>
      <x:c r="U88" s="506" t="str">
        <x:f>IF(AND(K88="No",L88="No",M88="Clean",O88="Confirmed",P88="Validated",Q88="No",R88="Valid"),"Ready","Hold")</x:f>
        <x:v>Ready</x:v>
      </x:c>
      <x:c r="V88" s="507" t="str">
        <x:f>IF(U88="Ready","No action",IF(K88="Yes","Resolve duplicate and confirm surviving record",IF(L88="Yes","Populate and validate email","Complete remediation and validation")))</x:f>
        <x:v>No action</x:v>
      </x:c>
    </x:row>
    <x:row r="89">
      <x:c r="A89" s="505" t="n">
        <x:v>1089</x:v>
      </x:c>
      <x:c r="B89" s="506" t="str">
        <x:v>Emp89</x:v>
      </x:c>
      <x:c r="C89" s="506" t="str">
        <x:v>User89</x:v>
      </x:c>
      <x:c r="D89" s="506" t="str">
        <x:v>Germany</x:v>
      </x:c>
      <x:c r="E89" s="506" t="str">
        <x:v>Operations</x:v>
      </x:c>
      <x:c r="F89" s="506" t="str">
        <x:v>emp89@company.com</x:v>
      </x:c>
      <x:c r="G89" s="506" t="str">
        <x:v>emp89</x:v>
      </x:c>
      <x:c r="H89" s="506" t="str">
        <x:v>BHR89</x:v>
      </x:c>
      <x:c r="I89" s="506" t="str">
        <x:v>MAC89</x:v>
      </x:c>
      <x:c r="J89" s="506" t="str">
        <x:v>XY89</x:v>
      </x:c>
      <x:c r="K89" s="506" t="str">
        <x:v>No</x:v>
      </x:c>
      <x:c r="L89" s="506" t="str">
        <x:v>No</x:v>
      </x:c>
      <x:c r="M89" s="506" t="str">
        <x:v>Clean</x:v>
      </x:c>
      <x:c r="N89" s="506" t="str">
        <x:v>Xytech</x:v>
      </x:c>
      <x:c r="O89" s="506" t="str">
        <x:v>Confirmed</x:v>
      </x:c>
      <x:c r="P89" s="506" t="str">
        <x:v>Validated</x:v>
      </x:c>
      <x:c r="Q89" s="506" t="str">
        <x:f>IF(OR(COUNTIF($A$2:$A$201,A89)&gt;1,COUNTIF($G$2:$G$201,G89)&gt;1,AND(F89&lt;&gt;"",COUNTIF($F$2:$F$201,F89)&gt;1),COUNTIF($H$2:$H$201,H89)&gt;1,COUNTIF($I$2:$I$201,I89)&gt;1,COUNTIF($J$2:$J$201,J89)&gt;1),"Yes","No")</x:f>
        <x:v>No</x:v>
      </x:c>
      <x:c r="R89" s="506" t="str">
        <x:f>IF(F89="","Missing",IF(AND(ISNUMBER(SEARCH("@",F89)),ISNUMBER(SEARCH(".",F89))),"Valid","Invalid"))</x:f>
        <x:v>Valid</x:v>
      </x:c>
      <x:c r="S89" s="506" t="n">
        <x:f>IF(K89="Yes",1,0)+IF(L89="Yes",1,0)+IF(M89&lt;&gt;"Clean",1,0)+IF(O89&lt;&gt;"Confirmed",1,0)+IF(P89&lt;&gt;"Validated",1,0)+IF(Q89="Yes",1,0)+IF(R89&lt;&gt;"Valid",1,0)</x:f>
        <x:v>0</x:v>
      </x:c>
      <x:c r="T89" s="517" t="n">
        <x:f>MAX(0,1-S89/7)</x:f>
        <x:v>1</x:v>
      </x:c>
      <x:c r="U89" s="506" t="str">
        <x:f>IF(AND(K89="No",L89="No",M89="Clean",O89="Confirmed",P89="Validated",Q89="No",R89="Valid"),"Ready","Hold")</x:f>
        <x:v>Ready</x:v>
      </x:c>
      <x:c r="V89" s="507" t="str">
        <x:f>IF(U89="Ready","No action",IF(K89="Yes","Resolve duplicate and confirm surviving record",IF(L89="Yes","Populate and validate email","Complete remediation and validation")))</x:f>
        <x:v>No action</x:v>
      </x:c>
    </x:row>
    <x:row r="90">
      <x:c r="A90" s="505" t="n">
        <x:v>1090</x:v>
      </x:c>
      <x:c r="B90" s="506" t="str">
        <x:v>Emp90</x:v>
      </x:c>
      <x:c r="C90" s="506" t="str">
        <x:v>User90</x:v>
      </x:c>
      <x:c r="D90" s="506" t="str">
        <x:v>India</x:v>
      </x:c>
      <x:c r="E90" s="506" t="str">
        <x:v>Sales</x:v>
      </x:c>
      <x:c r="F90" s="506" t="str">
        <x:v>emp90@company.com</x:v>
      </x:c>
      <x:c r="G90" s="506" t="str">
        <x:v>emp90</x:v>
      </x:c>
      <x:c r="H90" s="506" t="str">
        <x:v>BHR90</x:v>
      </x:c>
      <x:c r="I90" s="506" t="str">
        <x:v>MAC90</x:v>
      </x:c>
      <x:c r="J90" s="506" t="str">
        <x:v>XY90</x:v>
      </x:c>
      <x:c r="K90" s="506" t="str">
        <x:v>No</x:v>
      </x:c>
      <x:c r="L90" s="506" t="str">
        <x:v>No</x:v>
      </x:c>
      <x:c r="M90" s="506" t="str">
        <x:v>Clean</x:v>
      </x:c>
      <x:c r="N90" s="506" t="str">
        <x:v>BambooHR</x:v>
      </x:c>
      <x:c r="O90" s="506" t="str">
        <x:v>Confirmed</x:v>
      </x:c>
      <x:c r="P90" s="506" t="str">
        <x:v>Validated</x:v>
      </x:c>
      <x:c r="Q90" s="506" t="str">
        <x:f>IF(OR(COUNTIF($A$2:$A$201,A90)&gt;1,COUNTIF($G$2:$G$201,G90)&gt;1,AND(F90&lt;&gt;"",COUNTIF($F$2:$F$201,F90)&gt;1),COUNTIF($H$2:$H$201,H90)&gt;1,COUNTIF($I$2:$I$201,I90)&gt;1,COUNTIF($J$2:$J$201,J90)&gt;1),"Yes","No")</x:f>
        <x:v>No</x:v>
      </x:c>
      <x:c r="R90" s="506" t="str">
        <x:f>IF(F90="","Missing",IF(AND(ISNUMBER(SEARCH("@",F90)),ISNUMBER(SEARCH(".",F90))),"Valid","Invalid"))</x:f>
        <x:v>Valid</x:v>
      </x:c>
      <x:c r="S90" s="506" t="n">
        <x:f>IF(K90="Yes",1,0)+IF(L90="Yes",1,0)+IF(M90&lt;&gt;"Clean",1,0)+IF(O90&lt;&gt;"Confirmed",1,0)+IF(P90&lt;&gt;"Validated",1,0)+IF(Q90="Yes",1,0)+IF(R90&lt;&gt;"Valid",1,0)</x:f>
        <x:v>0</x:v>
      </x:c>
      <x:c r="T90" s="517" t="n">
        <x:f>MAX(0,1-S90/7)</x:f>
        <x:v>1</x:v>
      </x:c>
      <x:c r="U90" s="506" t="str">
        <x:f>IF(AND(K90="No",L90="No",M90="Clean",O90="Confirmed",P90="Validated",Q90="No",R90="Valid"),"Ready","Hold")</x:f>
        <x:v>Ready</x:v>
      </x:c>
      <x:c r="V90" s="507" t="str">
        <x:f>IF(U90="Ready","No action",IF(K90="Yes","Resolve duplicate and confirm surviving record",IF(L90="Yes","Populate and validate email","Complete remediation and validation")))</x:f>
        <x:v>No action</x:v>
      </x:c>
    </x:row>
    <x:row r="91">
      <x:c r="A91" s="505" t="n">
        <x:v>1091</x:v>
      </x:c>
      <x:c r="B91" s="506" t="str">
        <x:v>Emp91</x:v>
      </x:c>
      <x:c r="C91" s="506" t="str">
        <x:v>User91</x:v>
      </x:c>
      <x:c r="D91" s="506" t="str">
        <x:v>Australia</x:v>
      </x:c>
      <x:c r="E91" s="506" t="str">
        <x:v>Marketing</x:v>
      </x:c>
      <x:c r="F91" s="506" t="str">
        <x:v>emp91@company.com</x:v>
      </x:c>
      <x:c r="G91" s="506" t="str">
        <x:v>emp91</x:v>
      </x:c>
      <x:c r="H91" s="506" t="str">
        <x:v>BHR91</x:v>
      </x:c>
      <x:c r="I91" s="506" t="str">
        <x:v>MAC91</x:v>
      </x:c>
      <x:c r="J91" s="506" t="str">
        <x:v>XY91</x:v>
      </x:c>
      <x:c r="K91" s="506" t="str">
        <x:v>No</x:v>
      </x:c>
      <x:c r="L91" s="506" t="str">
        <x:v>No</x:v>
      </x:c>
      <x:c r="M91" s="506" t="str">
        <x:v>Clean</x:v>
      </x:c>
      <x:c r="N91" s="506" t="str">
        <x:v>Active Directory</x:v>
      </x:c>
      <x:c r="O91" s="506" t="str">
        <x:v>Confirmed</x:v>
      </x:c>
      <x:c r="P91" s="506" t="str">
        <x:v>Validated</x:v>
      </x:c>
      <x:c r="Q91" s="506" t="str">
        <x:f>IF(OR(COUNTIF($A$2:$A$201,A91)&gt;1,COUNTIF($G$2:$G$201,G91)&gt;1,AND(F91&lt;&gt;"",COUNTIF($F$2:$F$201,F91)&gt;1),COUNTIF($H$2:$H$201,H91)&gt;1,COUNTIF($I$2:$I$201,I91)&gt;1,COUNTIF($J$2:$J$201,J91)&gt;1),"Yes","No")</x:f>
        <x:v>No</x:v>
      </x:c>
      <x:c r="R91" s="506" t="str">
        <x:f>IF(F91="","Missing",IF(AND(ISNUMBER(SEARCH("@",F91)),ISNUMBER(SEARCH(".",F91))),"Valid","Invalid"))</x:f>
        <x:v>Valid</x:v>
      </x:c>
      <x:c r="S91" s="506" t="n">
        <x:f>IF(K91="Yes",1,0)+IF(L91="Yes",1,0)+IF(M91&lt;&gt;"Clean",1,0)+IF(O91&lt;&gt;"Confirmed",1,0)+IF(P91&lt;&gt;"Validated",1,0)+IF(Q91="Yes",1,0)+IF(R91&lt;&gt;"Valid",1,0)</x:f>
        <x:v>0</x:v>
      </x:c>
      <x:c r="T91" s="517" t="n">
        <x:f>MAX(0,1-S91/7)</x:f>
        <x:v>1</x:v>
      </x:c>
      <x:c r="U91" s="506" t="str">
        <x:f>IF(AND(K91="No",L91="No",M91="Clean",O91="Confirmed",P91="Validated",Q91="No",R91="Valid"),"Ready","Hold")</x:f>
        <x:v>Ready</x:v>
      </x:c>
      <x:c r="V91" s="507" t="str">
        <x:f>IF(U91="Ready","No action",IF(K91="Yes","Resolve duplicate and confirm surviving record",IF(L91="Yes","Populate and validate email","Complete remediation and validation")))</x:f>
        <x:v>No action</x:v>
      </x:c>
    </x:row>
    <x:row r="92">
      <x:c r="A92" s="505" t="n">
        <x:v>1092</x:v>
      </x:c>
      <x:c r="B92" s="506" t="str">
        <x:v>Emp92</x:v>
      </x:c>
      <x:c r="C92" s="506" t="str">
        <x:v>User92</x:v>
      </x:c>
      <x:c r="D92" s="506" t="str">
        <x:v>UAE</x:v>
      </x:c>
      <x:c r="E92" s="506" t="str">
        <x:v>HR</x:v>
      </x:c>
      <x:c r="F92" s="506" t="str">
        <x:v>emp92@company.com</x:v>
      </x:c>
      <x:c r="G92" s="506" t="str">
        <x:v>emp92</x:v>
      </x:c>
      <x:c r="H92" s="506" t="str">
        <x:v>BHR92</x:v>
      </x:c>
      <x:c r="I92" s="506" t="str">
        <x:v>MAC92</x:v>
      </x:c>
      <x:c r="J92" s="506" t="str">
        <x:v>XY92</x:v>
      </x:c>
      <x:c r="K92" s="506" t="str">
        <x:v>No</x:v>
      </x:c>
      <x:c r="L92" s="506" t="str">
        <x:v>No</x:v>
      </x:c>
      <x:c r="M92" s="506" t="str">
        <x:v>Clean</x:v>
      </x:c>
      <x:c r="N92" s="506" t="str">
        <x:v>Maconomy</x:v>
      </x:c>
      <x:c r="O92" s="506" t="str">
        <x:v>Confirmed</x:v>
      </x:c>
      <x:c r="P92" s="506" t="str">
        <x:v>Validated</x:v>
      </x:c>
      <x:c r="Q92" s="506" t="str">
        <x:f>IF(OR(COUNTIF($A$2:$A$201,A92)&gt;1,COUNTIF($G$2:$G$201,G92)&gt;1,AND(F92&lt;&gt;"",COUNTIF($F$2:$F$201,F92)&gt;1),COUNTIF($H$2:$H$201,H92)&gt;1,COUNTIF($I$2:$I$201,I92)&gt;1,COUNTIF($J$2:$J$201,J92)&gt;1),"Yes","No")</x:f>
        <x:v>No</x:v>
      </x:c>
      <x:c r="R92" s="506" t="str">
        <x:f>IF(F92="","Missing",IF(AND(ISNUMBER(SEARCH("@",F92)),ISNUMBER(SEARCH(".",F92))),"Valid","Invalid"))</x:f>
        <x:v>Valid</x:v>
      </x:c>
      <x:c r="S92" s="506" t="n">
        <x:f>IF(K92="Yes",1,0)+IF(L92="Yes",1,0)+IF(M92&lt;&gt;"Clean",1,0)+IF(O92&lt;&gt;"Confirmed",1,0)+IF(P92&lt;&gt;"Validated",1,0)+IF(Q92="Yes",1,0)+IF(R92&lt;&gt;"Valid",1,0)</x:f>
        <x:v>0</x:v>
      </x:c>
      <x:c r="T92" s="517" t="n">
        <x:f>MAX(0,1-S92/7)</x:f>
        <x:v>1</x:v>
      </x:c>
      <x:c r="U92" s="506" t="str">
        <x:f>IF(AND(K92="No",L92="No",M92="Clean",O92="Confirmed",P92="Validated",Q92="No",R92="Valid"),"Ready","Hold")</x:f>
        <x:v>Ready</x:v>
      </x:c>
      <x:c r="V92" s="507" t="str">
        <x:f>IF(U92="Ready","No action",IF(K92="Yes","Resolve duplicate and confirm surviving record",IF(L92="Yes","Populate and validate email","Complete remediation and validation")))</x:f>
        <x:v>No action</x:v>
      </x:c>
    </x:row>
    <x:row r="93">
      <x:c r="A93" s="505" t="n">
        <x:v>1093</x:v>
      </x:c>
      <x:c r="B93" s="506" t="str">
        <x:v>Emp93</x:v>
      </x:c>
      <x:c r="C93" s="506" t="str">
        <x:v>User93</x:v>
      </x:c>
      <x:c r="D93" s="506" t="str">
        <x:v>France</x:v>
      </x:c>
      <x:c r="E93" s="506" t="str">
        <x:v>Finance</x:v>
      </x:c>
      <x:c r="F93" s="506" t="str">
        <x:v>emp93@company.com</x:v>
      </x:c>
      <x:c r="G93" s="506" t="str">
        <x:v>emp93</x:v>
      </x:c>
      <x:c r="H93" s="506" t="str">
        <x:v>BHR93</x:v>
      </x:c>
      <x:c r="I93" s="506" t="str">
        <x:v>MAC93</x:v>
      </x:c>
      <x:c r="J93" s="506" t="str">
        <x:v>XY93</x:v>
      </x:c>
      <x:c r="K93" s="506" t="str">
        <x:v>No</x:v>
      </x:c>
      <x:c r="L93" s="506" t="str">
        <x:v>No</x:v>
      </x:c>
      <x:c r="M93" s="506" t="str">
        <x:v>Clean</x:v>
      </x:c>
      <x:c r="N93" s="506" t="str">
        <x:v>Xytech</x:v>
      </x:c>
      <x:c r="O93" s="506" t="str">
        <x:v>Confirmed</x:v>
      </x:c>
      <x:c r="P93" s="506" t="str">
        <x:v>Validated</x:v>
      </x:c>
      <x:c r="Q93" s="506" t="str">
        <x:f>IF(OR(COUNTIF($A$2:$A$201,A93)&gt;1,COUNTIF($G$2:$G$201,G93)&gt;1,AND(F93&lt;&gt;"",COUNTIF($F$2:$F$201,F93)&gt;1),COUNTIF($H$2:$H$201,H93)&gt;1,COUNTIF($I$2:$I$201,I93)&gt;1,COUNTIF($J$2:$J$201,J93)&gt;1),"Yes","No")</x:f>
        <x:v>No</x:v>
      </x:c>
      <x:c r="R93" s="506" t="str">
        <x:f>IF(F93="","Missing",IF(AND(ISNUMBER(SEARCH("@",F93)),ISNUMBER(SEARCH(".",F93))),"Valid","Invalid"))</x:f>
        <x:v>Valid</x:v>
      </x:c>
      <x:c r="S93" s="506" t="n">
        <x:f>IF(K93="Yes",1,0)+IF(L93="Yes",1,0)+IF(M93&lt;&gt;"Clean",1,0)+IF(O93&lt;&gt;"Confirmed",1,0)+IF(P93&lt;&gt;"Validated",1,0)+IF(Q93="Yes",1,0)+IF(R93&lt;&gt;"Valid",1,0)</x:f>
        <x:v>0</x:v>
      </x:c>
      <x:c r="T93" s="517" t="n">
        <x:f>MAX(0,1-S93/7)</x:f>
        <x:v>1</x:v>
      </x:c>
      <x:c r="U93" s="506" t="str">
        <x:f>IF(AND(K93="No",L93="No",M93="Clean",O93="Confirmed",P93="Validated",Q93="No",R93="Valid"),"Ready","Hold")</x:f>
        <x:v>Ready</x:v>
      </x:c>
      <x:c r="V93" s="507" t="str">
        <x:f>IF(U93="Ready","No action",IF(K93="Yes","Resolve duplicate and confirm surviving record",IF(L93="Yes","Populate and validate email","Complete remediation and validation")))</x:f>
        <x:v>No action</x:v>
      </x:c>
    </x:row>
    <x:row r="94">
      <x:c r="A94" s="505" t="n">
        <x:v>1094</x:v>
      </x:c>
      <x:c r="B94" s="506" t="str">
        <x:v>Emp94</x:v>
      </x:c>
      <x:c r="C94" s="506" t="str">
        <x:v>User94</x:v>
      </x:c>
      <x:c r="D94" s="506" t="str">
        <x:v>Nigeria</x:v>
      </x:c>
      <x:c r="E94" s="506" t="str">
        <x:v>IT</x:v>
      </x:c>
      <x:c r="F94" s="506" t="str">
        <x:v>emp94@company.com</x:v>
      </x:c>
      <x:c r="G94" s="506" t="str">
        <x:v>emp94</x:v>
      </x:c>
      <x:c r="H94" s="506" t="str">
        <x:v>BHR94</x:v>
      </x:c>
      <x:c r="I94" s="506" t="str">
        <x:v>MAC94</x:v>
      </x:c>
      <x:c r="J94" s="506" t="str">
        <x:v>XY94</x:v>
      </x:c>
      <x:c r="K94" s="506" t="str">
        <x:v>No</x:v>
      </x:c>
      <x:c r="L94" s="506" t="str">
        <x:v>No</x:v>
      </x:c>
      <x:c r="M94" s="506" t="str">
        <x:v>Clean</x:v>
      </x:c>
      <x:c r="N94" s="506" t="str">
        <x:v>BambooHR</x:v>
      </x:c>
      <x:c r="O94" s="506" t="str">
        <x:v>Confirmed</x:v>
      </x:c>
      <x:c r="P94" s="506" t="str">
        <x:v>Validated</x:v>
      </x:c>
      <x:c r="Q94" s="506" t="str">
        <x:f>IF(OR(COUNTIF($A$2:$A$201,A94)&gt;1,COUNTIF($G$2:$G$201,G94)&gt;1,AND(F94&lt;&gt;"",COUNTIF($F$2:$F$201,F94)&gt;1),COUNTIF($H$2:$H$201,H94)&gt;1,COUNTIF($I$2:$I$201,I94)&gt;1,COUNTIF($J$2:$J$201,J94)&gt;1),"Yes","No")</x:f>
        <x:v>No</x:v>
      </x:c>
      <x:c r="R94" s="506" t="str">
        <x:f>IF(F94="","Missing",IF(AND(ISNUMBER(SEARCH("@",F94)),ISNUMBER(SEARCH(".",F94))),"Valid","Invalid"))</x:f>
        <x:v>Valid</x:v>
      </x:c>
      <x:c r="S94" s="506" t="n">
        <x:f>IF(K94="Yes",1,0)+IF(L94="Yes",1,0)+IF(M94&lt;&gt;"Clean",1,0)+IF(O94&lt;&gt;"Confirmed",1,0)+IF(P94&lt;&gt;"Validated",1,0)+IF(Q94="Yes",1,0)+IF(R94&lt;&gt;"Valid",1,0)</x:f>
        <x:v>0</x:v>
      </x:c>
      <x:c r="T94" s="517" t="n">
        <x:f>MAX(0,1-S94/7)</x:f>
        <x:v>1</x:v>
      </x:c>
      <x:c r="U94" s="506" t="str">
        <x:f>IF(AND(K94="No",L94="No",M94="Clean",O94="Confirmed",P94="Validated",Q94="No",R94="Valid"),"Ready","Hold")</x:f>
        <x:v>Ready</x:v>
      </x:c>
      <x:c r="V94" s="507" t="str">
        <x:f>IF(U94="Ready","No action",IF(K94="Yes","Resolve duplicate and confirm surviving record",IF(L94="Yes","Populate and validate email","Complete remediation and validation")))</x:f>
        <x:v>No action</x:v>
      </x:c>
    </x:row>
    <x:row r="95">
      <x:c r="A95" s="505" t="n">
        <x:v>1095</x:v>
      </x:c>
      <x:c r="B95" s="506" t="str">
        <x:v>Emp95</x:v>
      </x:c>
      <x:c r="C95" s="506" t="str">
        <x:v>User95</x:v>
      </x:c>
      <x:c r="D95" s="506" t="str">
        <x:v>Gambia</x:v>
      </x:c>
      <x:c r="E95" s="506" t="str">
        <x:v>Operations</x:v>
      </x:c>
      <x:c r="F95" s="506" t="str">
        <x:v>emp95@company.com</x:v>
      </x:c>
      <x:c r="G95" s="506" t="str">
        <x:v>emp95</x:v>
      </x:c>
      <x:c r="H95" s="506" t="str">
        <x:v>BHR95</x:v>
      </x:c>
      <x:c r="I95" s="506" t="str">
        <x:v>MAC95</x:v>
      </x:c>
      <x:c r="J95" s="506" t="str">
        <x:v>XY95</x:v>
      </x:c>
      <x:c r="K95" s="506" t="str">
        <x:v>No</x:v>
      </x:c>
      <x:c r="L95" s="506" t="str">
        <x:v>No</x:v>
      </x:c>
      <x:c r="M95" s="506" t="str">
        <x:v>Clean</x:v>
      </x:c>
      <x:c r="N95" s="506" t="str">
        <x:v>Active Directory</x:v>
      </x:c>
      <x:c r="O95" s="506" t="str">
        <x:v>Confirmed</x:v>
      </x:c>
      <x:c r="P95" s="506" t="str">
        <x:v>Validated</x:v>
      </x:c>
      <x:c r="Q95" s="506" t="str">
        <x:f>IF(OR(COUNTIF($A$2:$A$201,A95)&gt;1,COUNTIF($G$2:$G$201,G95)&gt;1,AND(F95&lt;&gt;"",COUNTIF($F$2:$F$201,F95)&gt;1),COUNTIF($H$2:$H$201,H95)&gt;1,COUNTIF($I$2:$I$201,I95)&gt;1,COUNTIF($J$2:$J$201,J95)&gt;1),"Yes","No")</x:f>
        <x:v>No</x:v>
      </x:c>
      <x:c r="R95" s="506" t="str">
        <x:f>IF(F95="","Missing",IF(AND(ISNUMBER(SEARCH("@",F95)),ISNUMBER(SEARCH(".",F95))),"Valid","Invalid"))</x:f>
        <x:v>Valid</x:v>
      </x:c>
      <x:c r="S95" s="506" t="n">
        <x:f>IF(K95="Yes",1,0)+IF(L95="Yes",1,0)+IF(M95&lt;&gt;"Clean",1,0)+IF(O95&lt;&gt;"Confirmed",1,0)+IF(P95&lt;&gt;"Validated",1,0)+IF(Q95="Yes",1,0)+IF(R95&lt;&gt;"Valid",1,0)</x:f>
        <x:v>0</x:v>
      </x:c>
      <x:c r="T95" s="517" t="n">
        <x:f>MAX(0,1-S95/7)</x:f>
        <x:v>1</x:v>
      </x:c>
      <x:c r="U95" s="506" t="str">
        <x:f>IF(AND(K95="No",L95="No",M95="Clean",O95="Confirmed",P95="Validated",Q95="No",R95="Valid"),"Ready","Hold")</x:f>
        <x:v>Ready</x:v>
      </x:c>
      <x:c r="V95" s="507" t="str">
        <x:f>IF(U95="Ready","No action",IF(K95="Yes","Resolve duplicate and confirm surviving record",IF(L95="Yes","Populate and validate email","Complete remediation and validation")))</x:f>
        <x:v>No action</x:v>
      </x:c>
    </x:row>
    <x:row r="96">
      <x:c r="A96" s="505" t="n">
        <x:v>1096</x:v>
      </x:c>
      <x:c r="B96" s="506" t="str">
        <x:v>Emp96</x:v>
      </x:c>
      <x:c r="C96" s="506" t="str">
        <x:v>User96</x:v>
      </x:c>
      <x:c r="D96" s="506" t="str">
        <x:v>Spain</x:v>
      </x:c>
      <x:c r="E96" s="506" t="str">
        <x:v>Sales</x:v>
      </x:c>
      <x:c r="F96" s="506" t="str">
        <x:v>emp96@company.com</x:v>
      </x:c>
      <x:c r="G96" s="506" t="str">
        <x:v>emp96</x:v>
      </x:c>
      <x:c r="H96" s="506" t="str">
        <x:v>BHR96</x:v>
      </x:c>
      <x:c r="I96" s="506" t="str">
        <x:v>MAC96</x:v>
      </x:c>
      <x:c r="J96" s="506" t="str">
        <x:v>XY96</x:v>
      </x:c>
      <x:c r="K96" s="506" t="str">
        <x:v>No</x:v>
      </x:c>
      <x:c r="L96" s="506" t="str">
        <x:v>No</x:v>
      </x:c>
      <x:c r="M96" s="506" t="str">
        <x:v>Clean</x:v>
      </x:c>
      <x:c r="N96" s="506" t="str">
        <x:v>Maconomy</x:v>
      </x:c>
      <x:c r="O96" s="506" t="str">
        <x:v>Confirmed</x:v>
      </x:c>
      <x:c r="P96" s="506" t="str">
        <x:v>Validated</x:v>
      </x:c>
      <x:c r="Q96" s="506" t="str">
        <x:f>IF(OR(COUNTIF($A$2:$A$201,A96)&gt;1,COUNTIF($G$2:$G$201,G96)&gt;1,AND(F96&lt;&gt;"",COUNTIF($F$2:$F$201,F96)&gt;1),COUNTIF($H$2:$H$201,H96)&gt;1,COUNTIF($I$2:$I$201,I96)&gt;1,COUNTIF($J$2:$J$201,J96)&gt;1),"Yes","No")</x:f>
        <x:v>No</x:v>
      </x:c>
      <x:c r="R96" s="506" t="str">
        <x:f>IF(F96="","Missing",IF(AND(ISNUMBER(SEARCH("@",F96)),ISNUMBER(SEARCH(".",F96))),"Valid","Invalid"))</x:f>
        <x:v>Valid</x:v>
      </x:c>
      <x:c r="S96" s="506" t="n">
        <x:f>IF(K96="Yes",1,0)+IF(L96="Yes",1,0)+IF(M96&lt;&gt;"Clean",1,0)+IF(O96&lt;&gt;"Confirmed",1,0)+IF(P96&lt;&gt;"Validated",1,0)+IF(Q96="Yes",1,0)+IF(R96&lt;&gt;"Valid",1,0)</x:f>
        <x:v>0</x:v>
      </x:c>
      <x:c r="T96" s="517" t="n">
        <x:f>MAX(0,1-S96/7)</x:f>
        <x:v>1</x:v>
      </x:c>
      <x:c r="U96" s="506" t="str">
        <x:f>IF(AND(K96="No",L96="No",M96="Clean",O96="Confirmed",P96="Validated",Q96="No",R96="Valid"),"Ready","Hold")</x:f>
        <x:v>Ready</x:v>
      </x:c>
      <x:c r="V96" s="507" t="str">
        <x:f>IF(U96="Ready","No action",IF(K96="Yes","Resolve duplicate and confirm surviving record",IF(L96="Yes","Populate and validate email","Complete remediation and validation")))</x:f>
        <x:v>No action</x:v>
      </x:c>
    </x:row>
    <x:row r="97">
      <x:c r="A97" s="505" t="n">
        <x:v>1097</x:v>
      </x:c>
      <x:c r="B97" s="506" t="str">
        <x:v>Emp97</x:v>
      </x:c>
      <x:c r="C97" s="506" t="str">
        <x:v>User97</x:v>
      </x:c>
      <x:c r="D97" s="506" t="str">
        <x:v>Netherlands</x:v>
      </x:c>
      <x:c r="E97" s="506" t="str">
        <x:v>Marketing</x:v>
      </x:c>
      <x:c r="F97" s="506" t="str">
        <x:v>emp97@company.com</x:v>
      </x:c>
      <x:c r="G97" s="506" t="str">
        <x:v>emp97</x:v>
      </x:c>
      <x:c r="H97" s="506" t="str">
        <x:v>BHR97</x:v>
      </x:c>
      <x:c r="I97" s="506" t="str">
        <x:v>MAC97</x:v>
      </x:c>
      <x:c r="J97" s="506" t="str">
        <x:v>XY97</x:v>
      </x:c>
      <x:c r="K97" s="506" t="str">
        <x:v>No</x:v>
      </x:c>
      <x:c r="L97" s="506" t="str">
        <x:v>No</x:v>
      </x:c>
      <x:c r="M97" s="506" t="str">
        <x:v>Clean</x:v>
      </x:c>
      <x:c r="N97" s="506" t="str">
        <x:v>Xytech</x:v>
      </x:c>
      <x:c r="O97" s="506" t="str">
        <x:v>Confirmed</x:v>
      </x:c>
      <x:c r="P97" s="506" t="str">
        <x:v>Validated</x:v>
      </x:c>
      <x:c r="Q97" s="506" t="str">
        <x:f>IF(OR(COUNTIF($A$2:$A$201,A97)&gt;1,COUNTIF($G$2:$G$201,G97)&gt;1,AND(F97&lt;&gt;"",COUNTIF($F$2:$F$201,F97)&gt;1),COUNTIF($H$2:$H$201,H97)&gt;1,COUNTIF($I$2:$I$201,I97)&gt;1,COUNTIF($J$2:$J$201,J97)&gt;1),"Yes","No")</x:f>
        <x:v>No</x:v>
      </x:c>
      <x:c r="R97" s="506" t="str">
        <x:f>IF(F97="","Missing",IF(AND(ISNUMBER(SEARCH("@",F97)),ISNUMBER(SEARCH(".",F97))),"Valid","Invalid"))</x:f>
        <x:v>Valid</x:v>
      </x:c>
      <x:c r="S97" s="506" t="n">
        <x:f>IF(K97="Yes",1,0)+IF(L97="Yes",1,0)+IF(M97&lt;&gt;"Clean",1,0)+IF(O97&lt;&gt;"Confirmed",1,0)+IF(P97&lt;&gt;"Validated",1,0)+IF(Q97="Yes",1,0)+IF(R97&lt;&gt;"Valid",1,0)</x:f>
        <x:v>0</x:v>
      </x:c>
      <x:c r="T97" s="517" t="n">
        <x:f>MAX(0,1-S97/7)</x:f>
        <x:v>1</x:v>
      </x:c>
      <x:c r="U97" s="506" t="str">
        <x:f>IF(AND(K97="No",L97="No",M97="Clean",O97="Confirmed",P97="Validated",Q97="No",R97="Valid"),"Ready","Hold")</x:f>
        <x:v>Ready</x:v>
      </x:c>
      <x:c r="V97" s="507" t="str">
        <x:f>IF(U97="Ready","No action",IF(K97="Yes","Resolve duplicate and confirm surviving record",IF(L97="Yes","Populate and validate email","Complete remediation and validation")))</x:f>
        <x:v>No action</x:v>
      </x:c>
    </x:row>
    <x:row r="98">
      <x:c r="A98" s="505" t="n">
        <x:v>1098</x:v>
      </x:c>
      <x:c r="B98" s="506" t="str">
        <x:v>Emp98</x:v>
      </x:c>
      <x:c r="C98" s="506" t="str">
        <x:v>User98</x:v>
      </x:c>
      <x:c r="D98" s="506" t="str">
        <x:v>Singapore</x:v>
      </x:c>
      <x:c r="E98" s="506" t="str">
        <x:v>HR</x:v>
      </x:c>
      <x:c r="F98" s="506" t="str">
        <x:v>emp98@company.com</x:v>
      </x:c>
      <x:c r="G98" s="506" t="str">
        <x:v>emp98</x:v>
      </x:c>
      <x:c r="H98" s="506" t="str">
        <x:v>BHR98</x:v>
      </x:c>
      <x:c r="I98" s="506" t="str">
        <x:v>MAC98</x:v>
      </x:c>
      <x:c r="J98" s="506" t="str">
        <x:v>XY98</x:v>
      </x:c>
      <x:c r="K98" s="506" t="str">
        <x:v>No</x:v>
      </x:c>
      <x:c r="L98" s="506" t="str">
        <x:v>No</x:v>
      </x:c>
      <x:c r="M98" s="506" t="str">
        <x:v>Clean</x:v>
      </x:c>
      <x:c r="N98" s="506" t="str">
        <x:v>BambooHR</x:v>
      </x:c>
      <x:c r="O98" s="506" t="str">
        <x:v>Confirmed</x:v>
      </x:c>
      <x:c r="P98" s="506" t="str">
        <x:v>Validated</x:v>
      </x:c>
      <x:c r="Q98" s="506" t="str">
        <x:f>IF(OR(COUNTIF($A$2:$A$201,A98)&gt;1,COUNTIF($G$2:$G$201,G98)&gt;1,AND(F98&lt;&gt;"",COUNTIF($F$2:$F$201,F98)&gt;1),COUNTIF($H$2:$H$201,H98)&gt;1,COUNTIF($I$2:$I$201,I98)&gt;1,COUNTIF($J$2:$J$201,J98)&gt;1),"Yes","No")</x:f>
        <x:v>No</x:v>
      </x:c>
      <x:c r="R98" s="506" t="str">
        <x:f>IF(F98="","Missing",IF(AND(ISNUMBER(SEARCH("@",F98)),ISNUMBER(SEARCH(".",F98))),"Valid","Invalid"))</x:f>
        <x:v>Valid</x:v>
      </x:c>
      <x:c r="S98" s="506" t="n">
        <x:f>IF(K98="Yes",1,0)+IF(L98="Yes",1,0)+IF(M98&lt;&gt;"Clean",1,0)+IF(O98&lt;&gt;"Confirmed",1,0)+IF(P98&lt;&gt;"Validated",1,0)+IF(Q98="Yes",1,0)+IF(R98&lt;&gt;"Valid",1,0)</x:f>
        <x:v>0</x:v>
      </x:c>
      <x:c r="T98" s="517" t="n">
        <x:f>MAX(0,1-S98/7)</x:f>
        <x:v>1</x:v>
      </x:c>
      <x:c r="U98" s="506" t="str">
        <x:f>IF(AND(K98="No",L98="No",M98="Clean",O98="Confirmed",P98="Validated",Q98="No",R98="Valid"),"Ready","Hold")</x:f>
        <x:v>Ready</x:v>
      </x:c>
      <x:c r="V98" s="507" t="str">
        <x:f>IF(U98="Ready","No action",IF(K98="Yes","Resolve duplicate and confirm surviving record",IF(L98="Yes","Populate and validate email","Complete remediation and validation")))</x:f>
        <x:v>No action</x:v>
      </x:c>
    </x:row>
    <x:row r="99">
      <x:c r="A99" s="505" t="n">
        <x:v>1099</x:v>
      </x:c>
      <x:c r="B99" s="506" t="str">
        <x:v>Emp99</x:v>
      </x:c>
      <x:c r="C99" s="506" t="str">
        <x:v>User99</x:v>
      </x:c>
      <x:c r="D99" s="506" t="str">
        <x:v>Brazil</x:v>
      </x:c>
      <x:c r="E99" s="506" t="str">
        <x:v>Finance</x:v>
      </x:c>
      <x:c r="F99" s="506" t="str">
        <x:v>emp99@company.com</x:v>
      </x:c>
      <x:c r="G99" s="506" t="str">
        <x:v>emp99</x:v>
      </x:c>
      <x:c r="H99" s="506" t="str">
        <x:v>BHR99</x:v>
      </x:c>
      <x:c r="I99" s="506" t="str">
        <x:v>MAC99</x:v>
      </x:c>
      <x:c r="J99" s="506" t="str">
        <x:v>XY99</x:v>
      </x:c>
      <x:c r="K99" s="506" t="str">
        <x:v>No</x:v>
      </x:c>
      <x:c r="L99" s="506" t="str">
        <x:v>No</x:v>
      </x:c>
      <x:c r="M99" s="506" t="str">
        <x:v>Clean</x:v>
      </x:c>
      <x:c r="N99" s="506" t="str">
        <x:v>Active Directory</x:v>
      </x:c>
      <x:c r="O99" s="506" t="str">
        <x:v>Confirmed</x:v>
      </x:c>
      <x:c r="P99" s="506" t="str">
        <x:v>Validated</x:v>
      </x:c>
      <x:c r="Q99" s="506" t="str">
        <x:f>IF(OR(COUNTIF($A$2:$A$201,A99)&gt;1,COUNTIF($G$2:$G$201,G99)&gt;1,AND(F99&lt;&gt;"",COUNTIF($F$2:$F$201,F99)&gt;1),COUNTIF($H$2:$H$201,H99)&gt;1,COUNTIF($I$2:$I$201,I99)&gt;1,COUNTIF($J$2:$J$201,J99)&gt;1),"Yes","No")</x:f>
        <x:v>No</x:v>
      </x:c>
      <x:c r="R99" s="506" t="str">
        <x:f>IF(F99="","Missing",IF(AND(ISNUMBER(SEARCH("@",F99)),ISNUMBER(SEARCH(".",F99))),"Valid","Invalid"))</x:f>
        <x:v>Valid</x:v>
      </x:c>
      <x:c r="S99" s="506" t="n">
        <x:f>IF(K99="Yes",1,0)+IF(L99="Yes",1,0)+IF(M99&lt;&gt;"Clean",1,0)+IF(O99&lt;&gt;"Confirmed",1,0)+IF(P99&lt;&gt;"Validated",1,0)+IF(Q99="Yes",1,0)+IF(R99&lt;&gt;"Valid",1,0)</x:f>
        <x:v>0</x:v>
      </x:c>
      <x:c r="T99" s="517" t="n">
        <x:f>MAX(0,1-S99/7)</x:f>
        <x:v>1</x:v>
      </x:c>
      <x:c r="U99" s="506" t="str">
        <x:f>IF(AND(K99="No",L99="No",M99="Clean",O99="Confirmed",P99="Validated",Q99="No",R99="Valid"),"Ready","Hold")</x:f>
        <x:v>Ready</x:v>
      </x:c>
      <x:c r="V99" s="507" t="str">
        <x:f>IF(U99="Ready","No action",IF(K99="Yes","Resolve duplicate and confirm surviving record",IF(L99="Yes","Populate and validate email","Complete remediation and validation")))</x:f>
        <x:v>No action</x:v>
      </x:c>
    </x:row>
    <x:row r="100">
      <x:c r="A100" s="505" t="n">
        <x:v>1100</x:v>
      </x:c>
      <x:c r="B100" s="506" t="str">
        <x:v>Emp100</x:v>
      </x:c>
      <x:c r="C100" s="506" t="str">
        <x:v>User100</x:v>
      </x:c>
      <x:c r="D100" s="506" t="str">
        <x:v>UK</x:v>
      </x:c>
      <x:c r="E100" s="506" t="str">
        <x:v>IT</x:v>
      </x:c>
      <x:c r="F100" s="506" t="str">
        <x:v>emp100@company.com</x:v>
      </x:c>
      <x:c r="G100" s="506" t="str">
        <x:v>emp100</x:v>
      </x:c>
      <x:c r="H100" s="506" t="str">
        <x:v>BHR100</x:v>
      </x:c>
      <x:c r="I100" s="506" t="str">
        <x:v>MAC100</x:v>
      </x:c>
      <x:c r="J100" s="506" t="str">
        <x:v>XY100</x:v>
      </x:c>
      <x:c r="K100" s="506" t="str">
        <x:v>No</x:v>
      </x:c>
      <x:c r="L100" s="506" t="str">
        <x:v>No</x:v>
      </x:c>
      <x:c r="M100" s="506" t="str">
        <x:v>Clean</x:v>
      </x:c>
      <x:c r="N100" s="506" t="str">
        <x:v>Maconomy</x:v>
      </x:c>
      <x:c r="O100" s="506" t="str">
        <x:v>Confirmed</x:v>
      </x:c>
      <x:c r="P100" s="506" t="str">
        <x:v>Validated</x:v>
      </x:c>
      <x:c r="Q100" s="506" t="str">
        <x:f>IF(OR(COUNTIF($A$2:$A$201,A100)&gt;1,COUNTIF($G$2:$G$201,G100)&gt;1,AND(F100&lt;&gt;"",COUNTIF($F$2:$F$201,F100)&gt;1),COUNTIF($H$2:$H$201,H100)&gt;1,COUNTIF($I$2:$I$201,I100)&gt;1,COUNTIF($J$2:$J$201,J100)&gt;1),"Yes","No")</x:f>
        <x:v>No</x:v>
      </x:c>
      <x:c r="R100" s="506" t="str">
        <x:f>IF(F100="","Missing",IF(AND(ISNUMBER(SEARCH("@",F100)),ISNUMBER(SEARCH(".",F100))),"Valid","Invalid"))</x:f>
        <x:v>Valid</x:v>
      </x:c>
      <x:c r="S100" s="506" t="n">
        <x:f>IF(K100="Yes",1,0)+IF(L100="Yes",1,0)+IF(M100&lt;&gt;"Clean",1,0)+IF(O100&lt;&gt;"Confirmed",1,0)+IF(P100&lt;&gt;"Validated",1,0)+IF(Q100="Yes",1,0)+IF(R100&lt;&gt;"Valid",1,0)</x:f>
        <x:v>0</x:v>
      </x:c>
      <x:c r="T100" s="517" t="n">
        <x:f>MAX(0,1-S100/7)</x:f>
        <x:v>1</x:v>
      </x:c>
      <x:c r="U100" s="506" t="str">
        <x:f>IF(AND(K100="No",L100="No",M100="Clean",O100="Confirmed",P100="Validated",Q100="No",R100="Valid"),"Ready","Hold")</x:f>
        <x:v>Ready</x:v>
      </x:c>
      <x:c r="V100" s="507" t="str">
        <x:f>IF(U100="Ready","No action",IF(K100="Yes","Resolve duplicate and confirm surviving record",IF(L100="Yes","Populate and validate email","Complete remediation and validation")))</x:f>
        <x:v>No action</x:v>
      </x:c>
    </x:row>
    <x:row r="101">
      <x:c r="A101" s="505" t="n">
        <x:v>1101</x:v>
      </x:c>
      <x:c r="B101" s="506" t="str">
        <x:v>Emp101</x:v>
      </x:c>
      <x:c r="C101" s="506" t="str">
        <x:v>User101</x:v>
      </x:c>
      <x:c r="D101" s="506" t="str">
        <x:v>USA</x:v>
      </x:c>
      <x:c r="E101" s="506" t="str">
        <x:v>Operations</x:v>
      </x:c>
      <x:c r="F101" s="506" t="str">
        <x:v>emp101@company.com</x:v>
      </x:c>
      <x:c r="G101" s="506" t="str">
        <x:v>emp101</x:v>
      </x:c>
      <x:c r="H101" s="506" t="str">
        <x:v>BHR101</x:v>
      </x:c>
      <x:c r="I101" s="506" t="str">
        <x:v>MAC101</x:v>
      </x:c>
      <x:c r="J101" s="506" t="str">
        <x:v>XY101</x:v>
      </x:c>
      <x:c r="K101" s="506" t="str">
        <x:v>No</x:v>
      </x:c>
      <x:c r="L101" s="506" t="str">
        <x:v>No</x:v>
      </x:c>
      <x:c r="M101" s="506" t="str">
        <x:v>Clean</x:v>
      </x:c>
      <x:c r="N101" s="506" t="str">
        <x:v>Xytech</x:v>
      </x:c>
      <x:c r="O101" s="506" t="str">
        <x:v>Confirmed</x:v>
      </x:c>
      <x:c r="P101" s="506" t="str">
        <x:v>Validated</x:v>
      </x:c>
      <x:c r="Q101" s="506" t="str">
        <x:f>IF(OR(COUNTIF($A$2:$A$201,A101)&gt;1,COUNTIF($G$2:$G$201,G101)&gt;1,AND(F101&lt;&gt;"",COUNTIF($F$2:$F$201,F101)&gt;1),COUNTIF($H$2:$H$201,H101)&gt;1,COUNTIF($I$2:$I$201,I101)&gt;1,COUNTIF($J$2:$J$201,J101)&gt;1),"Yes","No")</x:f>
        <x:v>No</x:v>
      </x:c>
      <x:c r="R101" s="506" t="str">
        <x:f>IF(F101="","Missing",IF(AND(ISNUMBER(SEARCH("@",F101)),ISNUMBER(SEARCH(".",F101))),"Valid","Invalid"))</x:f>
        <x:v>Valid</x:v>
      </x:c>
      <x:c r="S101" s="506" t="n">
        <x:f>IF(K101="Yes",1,0)+IF(L101="Yes",1,0)+IF(M101&lt;&gt;"Clean",1,0)+IF(O101&lt;&gt;"Confirmed",1,0)+IF(P101&lt;&gt;"Validated",1,0)+IF(Q101="Yes",1,0)+IF(R101&lt;&gt;"Valid",1,0)</x:f>
        <x:v>0</x:v>
      </x:c>
      <x:c r="T101" s="517" t="n">
        <x:f>MAX(0,1-S101/7)</x:f>
        <x:v>1</x:v>
      </x:c>
      <x:c r="U101" s="506" t="str">
        <x:f>IF(AND(K101="No",L101="No",M101="Clean",O101="Confirmed",P101="Validated",Q101="No",R101="Valid"),"Ready","Hold")</x:f>
        <x:v>Ready</x:v>
      </x:c>
      <x:c r="V101" s="507" t="str">
        <x:f>IF(U101="Ready","No action",IF(K101="Yes","Resolve duplicate and confirm surviving record",IF(L101="Yes","Populate and validate email","Complete remediation and validation")))</x:f>
        <x:v>No action</x:v>
      </x:c>
    </x:row>
    <x:row r="102">
      <x:c r="A102" s="505" t="n">
        <x:v>1102</x:v>
      </x:c>
      <x:c r="B102" s="506" t="str">
        <x:v>Emp102</x:v>
      </x:c>
      <x:c r="C102" s="506" t="str">
        <x:v>User102</x:v>
      </x:c>
      <x:c r="D102" s="506" t="str">
        <x:v>Canada</x:v>
      </x:c>
      <x:c r="E102" s="506" t="str">
        <x:v>Sales</x:v>
      </x:c>
      <x:c r="F102" s="506" t="str">
        <x:v>emp102@company.com</x:v>
      </x:c>
      <x:c r="G102" s="506" t="str">
        <x:v>emp102</x:v>
      </x:c>
      <x:c r="H102" s="506" t="str">
        <x:v>BHR102</x:v>
      </x:c>
      <x:c r="I102" s="506" t="str">
        <x:v>MAC102</x:v>
      </x:c>
      <x:c r="J102" s="506" t="str">
        <x:v>XY102</x:v>
      </x:c>
      <x:c r="K102" s="506" t="str">
        <x:v>No</x:v>
      </x:c>
      <x:c r="L102" s="506" t="str">
        <x:v>No</x:v>
      </x:c>
      <x:c r="M102" s="506" t="str">
        <x:v>Clean</x:v>
      </x:c>
      <x:c r="N102" s="506" t="str">
        <x:v>BambooHR</x:v>
      </x:c>
      <x:c r="O102" s="506" t="str">
        <x:v>Confirmed</x:v>
      </x:c>
      <x:c r="P102" s="506" t="str">
        <x:v>Validated</x:v>
      </x:c>
      <x:c r="Q102" s="506" t="str">
        <x:f>IF(OR(COUNTIF($A$2:$A$201,A102)&gt;1,COUNTIF($G$2:$G$201,G102)&gt;1,AND(F102&lt;&gt;"",COUNTIF($F$2:$F$201,F102)&gt;1),COUNTIF($H$2:$H$201,H102)&gt;1,COUNTIF($I$2:$I$201,I102)&gt;1,COUNTIF($J$2:$J$201,J102)&gt;1),"Yes","No")</x:f>
        <x:v>No</x:v>
      </x:c>
      <x:c r="R102" s="506" t="str">
        <x:f>IF(F102="","Missing",IF(AND(ISNUMBER(SEARCH("@",F102)),ISNUMBER(SEARCH(".",F102))),"Valid","Invalid"))</x:f>
        <x:v>Valid</x:v>
      </x:c>
      <x:c r="S102" s="506" t="n">
        <x:f>IF(K102="Yes",1,0)+IF(L102="Yes",1,0)+IF(M102&lt;&gt;"Clean",1,0)+IF(O102&lt;&gt;"Confirmed",1,0)+IF(P102&lt;&gt;"Validated",1,0)+IF(Q102="Yes",1,0)+IF(R102&lt;&gt;"Valid",1,0)</x:f>
        <x:v>0</x:v>
      </x:c>
      <x:c r="T102" s="517" t="n">
        <x:f>MAX(0,1-S102/7)</x:f>
        <x:v>1</x:v>
      </x:c>
      <x:c r="U102" s="506" t="str">
        <x:f>IF(AND(K102="No",L102="No",M102="Clean",O102="Confirmed",P102="Validated",Q102="No",R102="Valid"),"Ready","Hold")</x:f>
        <x:v>Ready</x:v>
      </x:c>
      <x:c r="V102" s="507" t="str">
        <x:f>IF(U102="Ready","No action",IF(K102="Yes","Resolve duplicate and confirm surviving record",IF(L102="Yes","Populate and validate email","Complete remediation and validation")))</x:f>
        <x:v>No action</x:v>
      </x:c>
    </x:row>
    <x:row r="103">
      <x:c r="A103" s="505" t="n">
        <x:v>1103</x:v>
      </x:c>
      <x:c r="B103" s="506" t="str">
        <x:v>Emp103</x:v>
      </x:c>
      <x:c r="C103" s="506" t="str">
        <x:v>User103</x:v>
      </x:c>
      <x:c r="D103" s="506" t="str">
        <x:v>Germany</x:v>
      </x:c>
      <x:c r="E103" s="506" t="str">
        <x:v>Marketing</x:v>
      </x:c>
      <x:c r="F103" s="506" t="str">
        <x:v>emp103@company.com</x:v>
      </x:c>
      <x:c r="G103" s="506" t="str">
        <x:v>emp103</x:v>
      </x:c>
      <x:c r="H103" s="506" t="str">
        <x:v>BHR103</x:v>
      </x:c>
      <x:c r="I103" s="506" t="str">
        <x:v>MAC103</x:v>
      </x:c>
      <x:c r="J103" s="506" t="str">
        <x:v>XY103</x:v>
      </x:c>
      <x:c r="K103" s="506" t="str">
        <x:v>No</x:v>
      </x:c>
      <x:c r="L103" s="506" t="str">
        <x:v>No</x:v>
      </x:c>
      <x:c r="M103" s="506" t="str">
        <x:v>Clean</x:v>
      </x:c>
      <x:c r="N103" s="506" t="str">
        <x:v>Active Directory</x:v>
      </x:c>
      <x:c r="O103" s="506" t="str">
        <x:v>Confirmed</x:v>
      </x:c>
      <x:c r="P103" s="506" t="str">
        <x:v>Validated</x:v>
      </x:c>
      <x:c r="Q103" s="506" t="str">
        <x:f>IF(OR(COUNTIF($A$2:$A$201,A103)&gt;1,COUNTIF($G$2:$G$201,G103)&gt;1,AND(F103&lt;&gt;"",COUNTIF($F$2:$F$201,F103)&gt;1),COUNTIF($H$2:$H$201,H103)&gt;1,COUNTIF($I$2:$I$201,I103)&gt;1,COUNTIF($J$2:$J$201,J103)&gt;1),"Yes","No")</x:f>
        <x:v>No</x:v>
      </x:c>
      <x:c r="R103" s="506" t="str">
        <x:f>IF(F103="","Missing",IF(AND(ISNUMBER(SEARCH("@",F103)),ISNUMBER(SEARCH(".",F103))),"Valid","Invalid"))</x:f>
        <x:v>Valid</x:v>
      </x:c>
      <x:c r="S103" s="506" t="n">
        <x:f>IF(K103="Yes",1,0)+IF(L103="Yes",1,0)+IF(M103&lt;&gt;"Clean",1,0)+IF(O103&lt;&gt;"Confirmed",1,0)+IF(P103&lt;&gt;"Validated",1,0)+IF(Q103="Yes",1,0)+IF(R103&lt;&gt;"Valid",1,0)</x:f>
        <x:v>0</x:v>
      </x:c>
      <x:c r="T103" s="517" t="n">
        <x:f>MAX(0,1-S103/7)</x:f>
        <x:v>1</x:v>
      </x:c>
      <x:c r="U103" s="506" t="str">
        <x:f>IF(AND(K103="No",L103="No",M103="Clean",O103="Confirmed",P103="Validated",Q103="No",R103="Valid"),"Ready","Hold")</x:f>
        <x:v>Ready</x:v>
      </x:c>
      <x:c r="V103" s="507" t="str">
        <x:f>IF(U103="Ready","No action",IF(K103="Yes","Resolve duplicate and confirm surviving record",IF(L103="Yes","Populate and validate email","Complete remediation and validation")))</x:f>
        <x:v>No action</x:v>
      </x:c>
    </x:row>
    <x:row r="104">
      <x:c r="A104" s="505" t="n">
        <x:v>1104</x:v>
      </x:c>
      <x:c r="B104" s="506" t="str">
        <x:v>Emp104</x:v>
      </x:c>
      <x:c r="C104" s="506" t="str">
        <x:v>User104</x:v>
      </x:c>
      <x:c r="D104" s="506" t="str">
        <x:v>India</x:v>
      </x:c>
      <x:c r="E104" s="506" t="str">
        <x:v>HR</x:v>
      </x:c>
      <x:c r="F104" s="506" t="str">
        <x:v>emp104@company.com</x:v>
      </x:c>
      <x:c r="G104" s="506" t="str">
        <x:v>emp104</x:v>
      </x:c>
      <x:c r="H104" s="506" t="str">
        <x:v>BHR104</x:v>
      </x:c>
      <x:c r="I104" s="506" t="str">
        <x:v>MAC104</x:v>
      </x:c>
      <x:c r="J104" s="506" t="str">
        <x:v>XY104</x:v>
      </x:c>
      <x:c r="K104" s="506" t="str">
        <x:v>No</x:v>
      </x:c>
      <x:c r="L104" s="506" t="str">
        <x:v>No</x:v>
      </x:c>
      <x:c r="M104" s="506" t="str">
        <x:v>Clean</x:v>
      </x:c>
      <x:c r="N104" s="506" t="str">
        <x:v>Maconomy</x:v>
      </x:c>
      <x:c r="O104" s="506" t="str">
        <x:v>Confirmed</x:v>
      </x:c>
      <x:c r="P104" s="506" t="str">
        <x:v>Validated</x:v>
      </x:c>
      <x:c r="Q104" s="506" t="str">
        <x:f>IF(OR(COUNTIF($A$2:$A$201,A104)&gt;1,COUNTIF($G$2:$G$201,G104)&gt;1,AND(F104&lt;&gt;"",COUNTIF($F$2:$F$201,F104)&gt;1),COUNTIF($H$2:$H$201,H104)&gt;1,COUNTIF($I$2:$I$201,I104)&gt;1,COUNTIF($J$2:$J$201,J104)&gt;1),"Yes","No")</x:f>
        <x:v>No</x:v>
      </x:c>
      <x:c r="R104" s="506" t="str">
        <x:f>IF(F104="","Missing",IF(AND(ISNUMBER(SEARCH("@",F104)),ISNUMBER(SEARCH(".",F104))),"Valid","Invalid"))</x:f>
        <x:v>Valid</x:v>
      </x:c>
      <x:c r="S104" s="506" t="n">
        <x:f>IF(K104="Yes",1,0)+IF(L104="Yes",1,0)+IF(M104&lt;&gt;"Clean",1,0)+IF(O104&lt;&gt;"Confirmed",1,0)+IF(P104&lt;&gt;"Validated",1,0)+IF(Q104="Yes",1,0)+IF(R104&lt;&gt;"Valid",1,0)</x:f>
        <x:v>0</x:v>
      </x:c>
      <x:c r="T104" s="517" t="n">
        <x:f>MAX(0,1-S104/7)</x:f>
        <x:v>1</x:v>
      </x:c>
      <x:c r="U104" s="506" t="str">
        <x:f>IF(AND(K104="No",L104="No",M104="Clean",O104="Confirmed",P104="Validated",Q104="No",R104="Valid"),"Ready","Hold")</x:f>
        <x:v>Ready</x:v>
      </x:c>
      <x:c r="V104" s="507" t="str">
        <x:f>IF(U104="Ready","No action",IF(K104="Yes","Resolve duplicate and confirm surviving record",IF(L104="Yes","Populate and validate email","Complete remediation and validation")))</x:f>
        <x:v>No action</x:v>
      </x:c>
    </x:row>
    <x:row r="105">
      <x:c r="A105" s="505" t="n">
        <x:v>1105</x:v>
      </x:c>
      <x:c r="B105" s="506" t="str">
        <x:v>Emp105</x:v>
      </x:c>
      <x:c r="C105" s="506" t="str">
        <x:v>User105</x:v>
      </x:c>
      <x:c r="D105" s="506" t="str">
        <x:v>Australia</x:v>
      </x:c>
      <x:c r="E105" s="506" t="str">
        <x:v>Finance</x:v>
      </x:c>
      <x:c r="F105" s="506" t="str">
        <x:v>emp105@company.com</x:v>
      </x:c>
      <x:c r="G105" s="506" t="str">
        <x:v>emp105</x:v>
      </x:c>
      <x:c r="H105" s="506" t="str">
        <x:v>BHR105</x:v>
      </x:c>
      <x:c r="I105" s="506" t="str">
        <x:v>MAC105</x:v>
      </x:c>
      <x:c r="J105" s="506" t="str">
        <x:v>XY105</x:v>
      </x:c>
      <x:c r="K105" s="506" t="str">
        <x:v>No</x:v>
      </x:c>
      <x:c r="L105" s="506" t="str">
        <x:v>No</x:v>
      </x:c>
      <x:c r="M105" s="506" t="str">
        <x:v>Clean</x:v>
      </x:c>
      <x:c r="N105" s="506" t="str">
        <x:v>Xytech</x:v>
      </x:c>
      <x:c r="O105" s="506" t="str">
        <x:v>Confirmed</x:v>
      </x:c>
      <x:c r="P105" s="506" t="str">
        <x:v>Validated</x:v>
      </x:c>
      <x:c r="Q105" s="506" t="str">
        <x:f>IF(OR(COUNTIF($A$2:$A$201,A105)&gt;1,COUNTIF($G$2:$G$201,G105)&gt;1,AND(F105&lt;&gt;"",COUNTIF($F$2:$F$201,F105)&gt;1),COUNTIF($H$2:$H$201,H105)&gt;1,COUNTIF($I$2:$I$201,I105)&gt;1,COUNTIF($J$2:$J$201,J105)&gt;1),"Yes","No")</x:f>
        <x:v>No</x:v>
      </x:c>
      <x:c r="R105" s="506" t="str">
        <x:f>IF(F105="","Missing",IF(AND(ISNUMBER(SEARCH("@",F105)),ISNUMBER(SEARCH(".",F105))),"Valid","Invalid"))</x:f>
        <x:v>Valid</x:v>
      </x:c>
      <x:c r="S105" s="506" t="n">
        <x:f>IF(K105="Yes",1,0)+IF(L105="Yes",1,0)+IF(M105&lt;&gt;"Clean",1,0)+IF(O105&lt;&gt;"Confirmed",1,0)+IF(P105&lt;&gt;"Validated",1,0)+IF(Q105="Yes",1,0)+IF(R105&lt;&gt;"Valid",1,0)</x:f>
        <x:v>0</x:v>
      </x:c>
      <x:c r="T105" s="517" t="n">
        <x:f>MAX(0,1-S105/7)</x:f>
        <x:v>1</x:v>
      </x:c>
      <x:c r="U105" s="506" t="str">
        <x:f>IF(AND(K105="No",L105="No",M105="Clean",O105="Confirmed",P105="Validated",Q105="No",R105="Valid"),"Ready","Hold")</x:f>
        <x:v>Ready</x:v>
      </x:c>
      <x:c r="V105" s="507" t="str">
        <x:f>IF(U105="Ready","No action",IF(K105="Yes","Resolve duplicate and confirm surviving record",IF(L105="Yes","Populate and validate email","Complete remediation and validation")))</x:f>
        <x:v>No action</x:v>
      </x:c>
    </x:row>
    <x:row r="106">
      <x:c r="A106" s="505" t="n">
        <x:v>1106</x:v>
      </x:c>
      <x:c r="B106" s="506" t="str">
        <x:v>Emp106</x:v>
      </x:c>
      <x:c r="C106" s="506" t="str">
        <x:v>User106</x:v>
      </x:c>
      <x:c r="D106" s="506" t="str">
        <x:v>UAE</x:v>
      </x:c>
      <x:c r="E106" s="506" t="str">
        <x:v>IT</x:v>
      </x:c>
      <x:c r="F106" s="506" t="str">
        <x:v>emp106@company.com</x:v>
      </x:c>
      <x:c r="G106" s="506" t="str">
        <x:v>emp106</x:v>
      </x:c>
      <x:c r="H106" s="506" t="str">
        <x:v>BHR106</x:v>
      </x:c>
      <x:c r="I106" s="506" t="str">
        <x:v>MAC106</x:v>
      </x:c>
      <x:c r="J106" s="506" t="str">
        <x:v>XY106</x:v>
      </x:c>
      <x:c r="K106" s="506" t="str">
        <x:v>No</x:v>
      </x:c>
      <x:c r="L106" s="506" t="str">
        <x:v>No</x:v>
      </x:c>
      <x:c r="M106" s="506" t="str">
        <x:v>Clean</x:v>
      </x:c>
      <x:c r="N106" s="506" t="str">
        <x:v>BambooHR</x:v>
      </x:c>
      <x:c r="O106" s="506" t="str">
        <x:v>Confirmed</x:v>
      </x:c>
      <x:c r="P106" s="506" t="str">
        <x:v>Validated</x:v>
      </x:c>
      <x:c r="Q106" s="506" t="str">
        <x:f>IF(OR(COUNTIF($A$2:$A$201,A106)&gt;1,COUNTIF($G$2:$G$201,G106)&gt;1,AND(F106&lt;&gt;"",COUNTIF($F$2:$F$201,F106)&gt;1),COUNTIF($H$2:$H$201,H106)&gt;1,COUNTIF($I$2:$I$201,I106)&gt;1,COUNTIF($J$2:$J$201,J106)&gt;1),"Yes","No")</x:f>
        <x:v>No</x:v>
      </x:c>
      <x:c r="R106" s="506" t="str">
        <x:f>IF(F106="","Missing",IF(AND(ISNUMBER(SEARCH("@",F106)),ISNUMBER(SEARCH(".",F106))),"Valid","Invalid"))</x:f>
        <x:v>Valid</x:v>
      </x:c>
      <x:c r="S106" s="506" t="n">
        <x:f>IF(K106="Yes",1,0)+IF(L106="Yes",1,0)+IF(M106&lt;&gt;"Clean",1,0)+IF(O106&lt;&gt;"Confirmed",1,0)+IF(P106&lt;&gt;"Validated",1,0)+IF(Q106="Yes",1,0)+IF(R106&lt;&gt;"Valid",1,0)</x:f>
        <x:v>0</x:v>
      </x:c>
      <x:c r="T106" s="517" t="n">
        <x:f>MAX(0,1-S106/7)</x:f>
        <x:v>1</x:v>
      </x:c>
      <x:c r="U106" s="506" t="str">
        <x:f>IF(AND(K106="No",L106="No",M106="Clean",O106="Confirmed",P106="Validated",Q106="No",R106="Valid"),"Ready","Hold")</x:f>
        <x:v>Ready</x:v>
      </x:c>
      <x:c r="V106" s="507" t="str">
        <x:f>IF(U106="Ready","No action",IF(K106="Yes","Resolve duplicate and confirm surviving record",IF(L106="Yes","Populate and validate email","Complete remediation and validation")))</x:f>
        <x:v>No action</x:v>
      </x:c>
    </x:row>
    <x:row r="107">
      <x:c r="A107" s="505" t="n">
        <x:v>1107</x:v>
      </x:c>
      <x:c r="B107" s="506" t="str">
        <x:v>Emp107</x:v>
      </x:c>
      <x:c r="C107" s="506" t="str">
        <x:v>User107</x:v>
      </x:c>
      <x:c r="D107" s="506" t="str">
        <x:v>France</x:v>
      </x:c>
      <x:c r="E107" s="506" t="str">
        <x:v>Operations</x:v>
      </x:c>
      <x:c r="F107" s="506" t="str">
        <x:v>emp107@company.com</x:v>
      </x:c>
      <x:c r="G107" s="506" t="str">
        <x:v>emp107</x:v>
      </x:c>
      <x:c r="H107" s="506" t="str">
        <x:v>BHR107</x:v>
      </x:c>
      <x:c r="I107" s="506" t="str">
        <x:v>MAC107</x:v>
      </x:c>
      <x:c r="J107" s="506" t="str">
        <x:v>XY107</x:v>
      </x:c>
      <x:c r="K107" s="506" t="str">
        <x:v>No</x:v>
      </x:c>
      <x:c r="L107" s="506" t="str">
        <x:v>No</x:v>
      </x:c>
      <x:c r="M107" s="506" t="str">
        <x:v>Clean</x:v>
      </x:c>
      <x:c r="N107" s="506" t="str">
        <x:v>Active Directory</x:v>
      </x:c>
      <x:c r="O107" s="506" t="str">
        <x:v>Confirmed</x:v>
      </x:c>
      <x:c r="P107" s="506" t="str">
        <x:v>Validated</x:v>
      </x:c>
      <x:c r="Q107" s="506" t="str">
        <x:f>IF(OR(COUNTIF($A$2:$A$201,A107)&gt;1,COUNTIF($G$2:$G$201,G107)&gt;1,AND(F107&lt;&gt;"",COUNTIF($F$2:$F$201,F107)&gt;1),COUNTIF($H$2:$H$201,H107)&gt;1,COUNTIF($I$2:$I$201,I107)&gt;1,COUNTIF($J$2:$J$201,J107)&gt;1),"Yes","No")</x:f>
        <x:v>No</x:v>
      </x:c>
      <x:c r="R107" s="506" t="str">
        <x:f>IF(F107="","Missing",IF(AND(ISNUMBER(SEARCH("@",F107)),ISNUMBER(SEARCH(".",F107))),"Valid","Invalid"))</x:f>
        <x:v>Valid</x:v>
      </x:c>
      <x:c r="S107" s="506" t="n">
        <x:f>IF(K107="Yes",1,0)+IF(L107="Yes",1,0)+IF(M107&lt;&gt;"Clean",1,0)+IF(O107&lt;&gt;"Confirmed",1,0)+IF(P107&lt;&gt;"Validated",1,0)+IF(Q107="Yes",1,0)+IF(R107&lt;&gt;"Valid",1,0)</x:f>
        <x:v>0</x:v>
      </x:c>
      <x:c r="T107" s="517" t="n">
        <x:f>MAX(0,1-S107/7)</x:f>
        <x:v>1</x:v>
      </x:c>
      <x:c r="U107" s="506" t="str">
        <x:f>IF(AND(K107="No",L107="No",M107="Clean",O107="Confirmed",P107="Validated",Q107="No",R107="Valid"),"Ready","Hold")</x:f>
        <x:v>Ready</x:v>
      </x:c>
      <x:c r="V107" s="507" t="str">
        <x:f>IF(U107="Ready","No action",IF(K107="Yes","Resolve duplicate and confirm surviving record",IF(L107="Yes","Populate and validate email","Complete remediation and validation")))</x:f>
        <x:v>No action</x:v>
      </x:c>
    </x:row>
    <x:row r="108">
      <x:c r="A108" s="505" t="n">
        <x:v>1108</x:v>
      </x:c>
      <x:c r="B108" s="506" t="str">
        <x:v>Emp108</x:v>
      </x:c>
      <x:c r="C108" s="506" t="str">
        <x:v>User108</x:v>
      </x:c>
      <x:c r="D108" s="506" t="str">
        <x:v>Nigeria</x:v>
      </x:c>
      <x:c r="E108" s="506" t="str">
        <x:v>Sales</x:v>
      </x:c>
      <x:c r="F108" s="506" t="str">
        <x:v>emp108@company.com</x:v>
      </x:c>
      <x:c r="G108" s="506" t="str">
        <x:v>emp108</x:v>
      </x:c>
      <x:c r="H108" s="506" t="str">
        <x:v>BHR108</x:v>
      </x:c>
      <x:c r="I108" s="506" t="str">
        <x:v>MAC108</x:v>
      </x:c>
      <x:c r="J108" s="506" t="str">
        <x:v>XY108</x:v>
      </x:c>
      <x:c r="K108" s="506" t="str">
        <x:v>No</x:v>
      </x:c>
      <x:c r="L108" s="506" t="str">
        <x:v>No</x:v>
      </x:c>
      <x:c r="M108" s="506" t="str">
        <x:v>Clean</x:v>
      </x:c>
      <x:c r="N108" s="506" t="str">
        <x:v>Maconomy</x:v>
      </x:c>
      <x:c r="O108" s="506" t="str">
        <x:v>Confirmed</x:v>
      </x:c>
      <x:c r="P108" s="506" t="str">
        <x:v>Validated</x:v>
      </x:c>
      <x:c r="Q108" s="506" t="str">
        <x:f>IF(OR(COUNTIF($A$2:$A$201,A108)&gt;1,COUNTIF($G$2:$G$201,G108)&gt;1,AND(F108&lt;&gt;"",COUNTIF($F$2:$F$201,F108)&gt;1),COUNTIF($H$2:$H$201,H108)&gt;1,COUNTIF($I$2:$I$201,I108)&gt;1,COUNTIF($J$2:$J$201,J108)&gt;1),"Yes","No")</x:f>
        <x:v>No</x:v>
      </x:c>
      <x:c r="R108" s="506" t="str">
        <x:f>IF(F108="","Missing",IF(AND(ISNUMBER(SEARCH("@",F108)),ISNUMBER(SEARCH(".",F108))),"Valid","Invalid"))</x:f>
        <x:v>Valid</x:v>
      </x:c>
      <x:c r="S108" s="506" t="n">
        <x:f>IF(K108="Yes",1,0)+IF(L108="Yes",1,0)+IF(M108&lt;&gt;"Clean",1,0)+IF(O108&lt;&gt;"Confirmed",1,0)+IF(P108&lt;&gt;"Validated",1,0)+IF(Q108="Yes",1,0)+IF(R108&lt;&gt;"Valid",1,0)</x:f>
        <x:v>0</x:v>
      </x:c>
      <x:c r="T108" s="517" t="n">
        <x:f>MAX(0,1-S108/7)</x:f>
        <x:v>1</x:v>
      </x:c>
      <x:c r="U108" s="506" t="str">
        <x:f>IF(AND(K108="No",L108="No",M108="Clean",O108="Confirmed",P108="Validated",Q108="No",R108="Valid"),"Ready","Hold")</x:f>
        <x:v>Ready</x:v>
      </x:c>
      <x:c r="V108" s="507" t="str">
        <x:f>IF(U108="Ready","No action",IF(K108="Yes","Resolve duplicate and confirm surviving record",IF(L108="Yes","Populate and validate email","Complete remediation and validation")))</x:f>
        <x:v>No action</x:v>
      </x:c>
    </x:row>
    <x:row r="109">
      <x:c r="A109" s="505" t="n">
        <x:v>1109</x:v>
      </x:c>
      <x:c r="B109" s="506" t="str">
        <x:v>Emp109</x:v>
      </x:c>
      <x:c r="C109" s="506" t="str">
        <x:v>User109</x:v>
      </x:c>
      <x:c r="D109" s="506" t="str">
        <x:v>Gambia</x:v>
      </x:c>
      <x:c r="E109" s="506" t="str">
        <x:v>Marketing</x:v>
      </x:c>
      <x:c r="F109" s="506" t="str">
        <x:v>emp109@company.com</x:v>
      </x:c>
      <x:c r="G109" s="506" t="str">
        <x:v>emp109</x:v>
      </x:c>
      <x:c r="H109" s="506" t="str">
        <x:v>BHR109</x:v>
      </x:c>
      <x:c r="I109" s="506" t="str">
        <x:v>MAC109</x:v>
      </x:c>
      <x:c r="J109" s="506" t="str">
        <x:v>XY109</x:v>
      </x:c>
      <x:c r="K109" s="506" t="str">
        <x:v>No</x:v>
      </x:c>
      <x:c r="L109" s="506" t="str">
        <x:v>No</x:v>
      </x:c>
      <x:c r="M109" s="506" t="str">
        <x:v>Clean</x:v>
      </x:c>
      <x:c r="N109" s="506" t="str">
        <x:v>Xytech</x:v>
      </x:c>
      <x:c r="O109" s="506" t="str">
        <x:v>Confirmed</x:v>
      </x:c>
      <x:c r="P109" s="506" t="str">
        <x:v>Validated</x:v>
      </x:c>
      <x:c r="Q109" s="506" t="str">
        <x:f>IF(OR(COUNTIF($A$2:$A$201,A109)&gt;1,COUNTIF($G$2:$G$201,G109)&gt;1,AND(F109&lt;&gt;"",COUNTIF($F$2:$F$201,F109)&gt;1),COUNTIF($H$2:$H$201,H109)&gt;1,COUNTIF($I$2:$I$201,I109)&gt;1,COUNTIF($J$2:$J$201,J109)&gt;1),"Yes","No")</x:f>
        <x:v>No</x:v>
      </x:c>
      <x:c r="R109" s="506" t="str">
        <x:f>IF(F109="","Missing",IF(AND(ISNUMBER(SEARCH("@",F109)),ISNUMBER(SEARCH(".",F109))),"Valid","Invalid"))</x:f>
        <x:v>Valid</x:v>
      </x:c>
      <x:c r="S109" s="506" t="n">
        <x:f>IF(K109="Yes",1,0)+IF(L109="Yes",1,0)+IF(M109&lt;&gt;"Clean",1,0)+IF(O109&lt;&gt;"Confirmed",1,0)+IF(P109&lt;&gt;"Validated",1,0)+IF(Q109="Yes",1,0)+IF(R109&lt;&gt;"Valid",1,0)</x:f>
        <x:v>0</x:v>
      </x:c>
      <x:c r="T109" s="517" t="n">
        <x:f>MAX(0,1-S109/7)</x:f>
        <x:v>1</x:v>
      </x:c>
      <x:c r="U109" s="506" t="str">
        <x:f>IF(AND(K109="No",L109="No",M109="Clean",O109="Confirmed",P109="Validated",Q109="No",R109="Valid"),"Ready","Hold")</x:f>
        <x:v>Ready</x:v>
      </x:c>
      <x:c r="V109" s="507" t="str">
        <x:f>IF(U109="Ready","No action",IF(K109="Yes","Resolve duplicate and confirm surviving record",IF(L109="Yes","Populate and validate email","Complete remediation and validation")))</x:f>
        <x:v>No action</x:v>
      </x:c>
    </x:row>
    <x:row r="110">
      <x:c r="A110" s="505" t="n">
        <x:v>1110</x:v>
      </x:c>
      <x:c r="B110" s="506" t="str">
        <x:v>Emp110</x:v>
      </x:c>
      <x:c r="C110" s="506" t="str">
        <x:v>User110</x:v>
      </x:c>
      <x:c r="D110" s="506" t="str">
        <x:v>Spain</x:v>
      </x:c>
      <x:c r="E110" s="506" t="str">
        <x:v>HR</x:v>
      </x:c>
      <x:c r="F110" s="506" t="str">
        <x:v>emp110@company.com</x:v>
      </x:c>
      <x:c r="G110" s="506" t="str">
        <x:v>emp110</x:v>
      </x:c>
      <x:c r="H110" s="506" t="str">
        <x:v>BHR110</x:v>
      </x:c>
      <x:c r="I110" s="506" t="str">
        <x:v>MAC110</x:v>
      </x:c>
      <x:c r="J110" s="506" t="str">
        <x:v>XY110</x:v>
      </x:c>
      <x:c r="K110" s="506" t="str">
        <x:v>No</x:v>
      </x:c>
      <x:c r="L110" s="506" t="str">
        <x:v>No</x:v>
      </x:c>
      <x:c r="M110" s="506" t="str">
        <x:v>Clean</x:v>
      </x:c>
      <x:c r="N110" s="506" t="str">
        <x:v>BambooHR</x:v>
      </x:c>
      <x:c r="O110" s="506" t="str">
        <x:v>Confirmed</x:v>
      </x:c>
      <x:c r="P110" s="506" t="str">
        <x:v>Validated</x:v>
      </x:c>
      <x:c r="Q110" s="506" t="str">
        <x:f>IF(OR(COUNTIF($A$2:$A$201,A110)&gt;1,COUNTIF($G$2:$G$201,G110)&gt;1,AND(F110&lt;&gt;"",COUNTIF($F$2:$F$201,F110)&gt;1),COUNTIF($H$2:$H$201,H110)&gt;1,COUNTIF($I$2:$I$201,I110)&gt;1,COUNTIF($J$2:$J$201,J110)&gt;1),"Yes","No")</x:f>
        <x:v>No</x:v>
      </x:c>
      <x:c r="R110" s="506" t="str">
        <x:f>IF(F110="","Missing",IF(AND(ISNUMBER(SEARCH("@",F110)),ISNUMBER(SEARCH(".",F110))),"Valid","Invalid"))</x:f>
        <x:v>Valid</x:v>
      </x:c>
      <x:c r="S110" s="506" t="n">
        <x:f>IF(K110="Yes",1,0)+IF(L110="Yes",1,0)+IF(M110&lt;&gt;"Clean",1,0)+IF(O110&lt;&gt;"Confirmed",1,0)+IF(P110&lt;&gt;"Validated",1,0)+IF(Q110="Yes",1,0)+IF(R110&lt;&gt;"Valid",1,0)</x:f>
        <x:v>0</x:v>
      </x:c>
      <x:c r="T110" s="517" t="n">
        <x:f>MAX(0,1-S110/7)</x:f>
        <x:v>1</x:v>
      </x:c>
      <x:c r="U110" s="506" t="str">
        <x:f>IF(AND(K110="No",L110="No",M110="Clean",O110="Confirmed",P110="Validated",Q110="No",R110="Valid"),"Ready","Hold")</x:f>
        <x:v>Ready</x:v>
      </x:c>
      <x:c r="V110" s="507" t="str">
        <x:f>IF(U110="Ready","No action",IF(K110="Yes","Resolve duplicate and confirm surviving record",IF(L110="Yes","Populate and validate email","Complete remediation and validation")))</x:f>
        <x:v>No action</x:v>
      </x:c>
    </x:row>
    <x:row r="111">
      <x:c r="A111" s="505" t="n">
        <x:v>1111</x:v>
      </x:c>
      <x:c r="B111" s="506" t="str">
        <x:v>Emp111</x:v>
      </x:c>
      <x:c r="C111" s="506" t="str">
        <x:v>User111</x:v>
      </x:c>
      <x:c r="D111" s="506" t="str">
        <x:v>Netherlands</x:v>
      </x:c>
      <x:c r="E111" s="506" t="str">
        <x:v>Finance</x:v>
      </x:c>
      <x:c r="F111" s="506" t="str">
        <x:v>emp111@company.com</x:v>
      </x:c>
      <x:c r="G111" s="506" t="str">
        <x:v>emp111</x:v>
      </x:c>
      <x:c r="H111" s="506" t="str">
        <x:v>BHR111</x:v>
      </x:c>
      <x:c r="I111" s="506" t="str">
        <x:v>MAC111</x:v>
      </x:c>
      <x:c r="J111" s="506" t="str">
        <x:v>XY111</x:v>
      </x:c>
      <x:c r="K111" s="506" t="str">
        <x:v>Yes</x:v>
      </x:c>
      <x:c r="L111" s="506" t="str">
        <x:v>No</x:v>
      </x:c>
      <x:c r="M111" s="506" t="str">
        <x:v>Issue</x:v>
      </x:c>
      <x:c r="N111" s="506" t="str">
        <x:v>Active Directory</x:v>
      </x:c>
      <x:c r="O111" s="506" t="str">
        <x:v>Pending</x:v>
      </x:c>
      <x:c r="P111" s="506" t="str">
        <x:v>Pending</x:v>
      </x:c>
      <x:c r="Q111" s="506" t="str">
        <x:f>IF(OR(COUNTIF($A$2:$A$201,A111)&gt;1,COUNTIF($G$2:$G$201,G111)&gt;1,AND(F111&lt;&gt;"",COUNTIF($F$2:$F$201,F111)&gt;1),COUNTIF($H$2:$H$201,H111)&gt;1,COUNTIF($I$2:$I$201,I111)&gt;1,COUNTIF($J$2:$J$201,J111)&gt;1),"Yes","No")</x:f>
        <x:v>No</x:v>
      </x:c>
      <x:c r="R111" s="506" t="str">
        <x:f>IF(F111="","Missing",IF(AND(ISNUMBER(SEARCH("@",F111)),ISNUMBER(SEARCH(".",F111))),"Valid","Invalid"))</x:f>
        <x:v>Valid</x:v>
      </x:c>
      <x:c r="S111" s="506" t="n">
        <x:f>IF(K111="Yes",1,0)+IF(L111="Yes",1,0)+IF(M111&lt;&gt;"Clean",1,0)+IF(O111&lt;&gt;"Confirmed",1,0)+IF(P111&lt;&gt;"Validated",1,0)+IF(Q111="Yes",1,0)+IF(R111&lt;&gt;"Valid",1,0)</x:f>
        <x:v>4</x:v>
      </x:c>
      <x:c r="T111" s="517" t="n">
        <x:f>MAX(0,1-S111/7)</x:f>
        <x:v>0.4285714285714286</x:v>
      </x:c>
      <x:c r="U111" s="506" t="str">
        <x:f>IF(AND(K111="No",L111="No",M111="Clean",O111="Confirmed",P111="Validated",Q111="No",R111="Valid"),"Ready","Hold")</x:f>
        <x:v>Hold</x:v>
      </x:c>
      <x:c r="V111" s="507" t="str">
        <x:f>IF(U111="Ready","No action",IF(K111="Yes","Resolve duplicate and confirm surviving record",IF(L111="Yes","Populate and validate email","Complete remediation and validation")))</x:f>
        <x:v>Resolve duplicate and confirm surviving record</x:v>
      </x:c>
    </x:row>
    <x:row r="112">
      <x:c r="A112" s="505" t="n">
        <x:v>1112</x:v>
      </x:c>
      <x:c r="B112" s="506" t="str">
        <x:v>Emp112</x:v>
      </x:c>
      <x:c r="C112" s="506" t="str">
        <x:v>User112</x:v>
      </x:c>
      <x:c r="D112" s="506" t="str">
        <x:v>Singapore</x:v>
      </x:c>
      <x:c r="E112" s="506" t="str">
        <x:v>IT</x:v>
      </x:c>
      <x:c r="F112" s="506" t="str">
        <x:v>emp112@company.com</x:v>
      </x:c>
      <x:c r="G112" s="506" t="str">
        <x:v>emp112</x:v>
      </x:c>
      <x:c r="H112" s="506" t="str">
        <x:v>BHR112</x:v>
      </x:c>
      <x:c r="I112" s="506" t="str">
        <x:v>MAC112</x:v>
      </x:c>
      <x:c r="J112" s="506" t="str">
        <x:v>XY112</x:v>
      </x:c>
      <x:c r="K112" s="506" t="str">
        <x:v>No</x:v>
      </x:c>
      <x:c r="L112" s="506" t="str">
        <x:v>No</x:v>
      </x:c>
      <x:c r="M112" s="506" t="str">
        <x:v>Clean</x:v>
      </x:c>
      <x:c r="N112" s="506" t="str">
        <x:v>Maconomy</x:v>
      </x:c>
      <x:c r="O112" s="506" t="str">
        <x:v>Confirmed</x:v>
      </x:c>
      <x:c r="P112" s="506" t="str">
        <x:v>Validated</x:v>
      </x:c>
      <x:c r="Q112" s="506" t="str">
        <x:f>IF(OR(COUNTIF($A$2:$A$201,A112)&gt;1,COUNTIF($G$2:$G$201,G112)&gt;1,AND(F112&lt;&gt;"",COUNTIF($F$2:$F$201,F112)&gt;1),COUNTIF($H$2:$H$201,H112)&gt;1,COUNTIF($I$2:$I$201,I112)&gt;1,COUNTIF($J$2:$J$201,J112)&gt;1),"Yes","No")</x:f>
        <x:v>No</x:v>
      </x:c>
      <x:c r="R112" s="506" t="str">
        <x:f>IF(F112="","Missing",IF(AND(ISNUMBER(SEARCH("@",F112)),ISNUMBER(SEARCH(".",F112))),"Valid","Invalid"))</x:f>
        <x:v>Valid</x:v>
      </x:c>
      <x:c r="S112" s="506" t="n">
        <x:f>IF(K112="Yes",1,0)+IF(L112="Yes",1,0)+IF(M112&lt;&gt;"Clean",1,0)+IF(O112&lt;&gt;"Confirmed",1,0)+IF(P112&lt;&gt;"Validated",1,0)+IF(Q112="Yes",1,0)+IF(R112&lt;&gt;"Valid",1,0)</x:f>
        <x:v>0</x:v>
      </x:c>
      <x:c r="T112" s="517" t="n">
        <x:f>MAX(0,1-S112/7)</x:f>
        <x:v>1</x:v>
      </x:c>
      <x:c r="U112" s="506" t="str">
        <x:f>IF(AND(K112="No",L112="No",M112="Clean",O112="Confirmed",P112="Validated",Q112="No",R112="Valid"),"Ready","Hold")</x:f>
        <x:v>Ready</x:v>
      </x:c>
      <x:c r="V112" s="507" t="str">
        <x:f>IF(U112="Ready","No action",IF(K112="Yes","Resolve duplicate and confirm surviving record",IF(L112="Yes","Populate and validate email","Complete remediation and validation")))</x:f>
        <x:v>No action</x:v>
      </x:c>
    </x:row>
    <x:row r="113">
      <x:c r="A113" s="505" t="n">
        <x:v>1113</x:v>
      </x:c>
      <x:c r="B113" s="506" t="str">
        <x:v>Emp113</x:v>
      </x:c>
      <x:c r="C113" s="506" t="str">
        <x:v>User113</x:v>
      </x:c>
      <x:c r="D113" s="506" t="str">
        <x:v>Brazil</x:v>
      </x:c>
      <x:c r="E113" s="506" t="str">
        <x:v>Operations</x:v>
      </x:c>
      <x:c r="F113" s="506" t="str">
        <x:v>emp113@company.com</x:v>
      </x:c>
      <x:c r="G113" s="506" t="str">
        <x:v>emp113</x:v>
      </x:c>
      <x:c r="H113" s="506" t="str">
        <x:v>BHR113</x:v>
      </x:c>
      <x:c r="I113" s="506" t="str">
        <x:v>MAC113</x:v>
      </x:c>
      <x:c r="J113" s="506" t="str">
        <x:v>XY113</x:v>
      </x:c>
      <x:c r="K113" s="506" t="str">
        <x:v>No</x:v>
      </x:c>
      <x:c r="L113" s="506" t="str">
        <x:v>No</x:v>
      </x:c>
      <x:c r="M113" s="506" t="str">
        <x:v>Clean</x:v>
      </x:c>
      <x:c r="N113" s="506" t="str">
        <x:v>Xytech</x:v>
      </x:c>
      <x:c r="O113" s="506" t="str">
        <x:v>Confirmed</x:v>
      </x:c>
      <x:c r="P113" s="506" t="str">
        <x:v>Validated</x:v>
      </x:c>
      <x:c r="Q113" s="506" t="str">
        <x:f>IF(OR(COUNTIF($A$2:$A$201,A113)&gt;1,COUNTIF($G$2:$G$201,G113)&gt;1,AND(F113&lt;&gt;"",COUNTIF($F$2:$F$201,F113)&gt;1),COUNTIF($H$2:$H$201,H113)&gt;1,COUNTIF($I$2:$I$201,I113)&gt;1,COUNTIF($J$2:$J$201,J113)&gt;1),"Yes","No")</x:f>
        <x:v>No</x:v>
      </x:c>
      <x:c r="R113" s="506" t="str">
        <x:f>IF(F113="","Missing",IF(AND(ISNUMBER(SEARCH("@",F113)),ISNUMBER(SEARCH(".",F113))),"Valid","Invalid"))</x:f>
        <x:v>Valid</x:v>
      </x:c>
      <x:c r="S113" s="506" t="n">
        <x:f>IF(K113="Yes",1,0)+IF(L113="Yes",1,0)+IF(M113&lt;&gt;"Clean",1,0)+IF(O113&lt;&gt;"Confirmed",1,0)+IF(P113&lt;&gt;"Validated",1,0)+IF(Q113="Yes",1,0)+IF(R113&lt;&gt;"Valid",1,0)</x:f>
        <x:v>0</x:v>
      </x:c>
      <x:c r="T113" s="517" t="n">
        <x:f>MAX(0,1-S113/7)</x:f>
        <x:v>1</x:v>
      </x:c>
      <x:c r="U113" s="506" t="str">
        <x:f>IF(AND(K113="No",L113="No",M113="Clean",O113="Confirmed",P113="Validated",Q113="No",R113="Valid"),"Ready","Hold")</x:f>
        <x:v>Ready</x:v>
      </x:c>
      <x:c r="V113" s="507" t="str">
        <x:f>IF(U113="Ready","No action",IF(K113="Yes","Resolve duplicate and confirm surviving record",IF(L113="Yes","Populate and validate email","Complete remediation and validation")))</x:f>
        <x:v>No action</x:v>
      </x:c>
    </x:row>
    <x:row r="114">
      <x:c r="A114" s="505" t="n">
        <x:v>1114</x:v>
      </x:c>
      <x:c r="B114" s="506" t="str">
        <x:v>Emp114</x:v>
      </x:c>
      <x:c r="C114" s="506" t="str">
        <x:v>User114</x:v>
      </x:c>
      <x:c r="D114" s="506" t="str">
        <x:v>UK</x:v>
      </x:c>
      <x:c r="E114" s="506" t="str">
        <x:v>Sales</x:v>
      </x:c>
      <x:c r="F114" s="506" t="str">
        <x:v>emp114@company.com</x:v>
      </x:c>
      <x:c r="G114" s="506" t="str">
        <x:v>emp114</x:v>
      </x:c>
      <x:c r="H114" s="506" t="str">
        <x:v>BHR114</x:v>
      </x:c>
      <x:c r="I114" s="506" t="str">
        <x:v>MAC114</x:v>
      </x:c>
      <x:c r="J114" s="506" t="str">
        <x:v>XY114</x:v>
      </x:c>
      <x:c r="K114" s="506" t="str">
        <x:v>No</x:v>
      </x:c>
      <x:c r="L114" s="506" t="str">
        <x:v>No</x:v>
      </x:c>
      <x:c r="M114" s="506" t="str">
        <x:v>Clean</x:v>
      </x:c>
      <x:c r="N114" s="506" t="str">
        <x:v>BambooHR</x:v>
      </x:c>
      <x:c r="O114" s="506" t="str">
        <x:v>Confirmed</x:v>
      </x:c>
      <x:c r="P114" s="506" t="str">
        <x:v>Validated</x:v>
      </x:c>
      <x:c r="Q114" s="506" t="str">
        <x:f>IF(OR(COUNTIF($A$2:$A$201,A114)&gt;1,COUNTIF($G$2:$G$201,G114)&gt;1,AND(F114&lt;&gt;"",COUNTIF($F$2:$F$201,F114)&gt;1),COUNTIF($H$2:$H$201,H114)&gt;1,COUNTIF($I$2:$I$201,I114)&gt;1,COUNTIF($J$2:$J$201,J114)&gt;1),"Yes","No")</x:f>
        <x:v>No</x:v>
      </x:c>
      <x:c r="R114" s="506" t="str">
        <x:f>IF(F114="","Missing",IF(AND(ISNUMBER(SEARCH("@",F114)),ISNUMBER(SEARCH(".",F114))),"Valid","Invalid"))</x:f>
        <x:v>Valid</x:v>
      </x:c>
      <x:c r="S114" s="506" t="n">
        <x:f>IF(K114="Yes",1,0)+IF(L114="Yes",1,0)+IF(M114&lt;&gt;"Clean",1,0)+IF(O114&lt;&gt;"Confirmed",1,0)+IF(P114&lt;&gt;"Validated",1,0)+IF(Q114="Yes",1,0)+IF(R114&lt;&gt;"Valid",1,0)</x:f>
        <x:v>0</x:v>
      </x:c>
      <x:c r="T114" s="517" t="n">
        <x:f>MAX(0,1-S114/7)</x:f>
        <x:v>1</x:v>
      </x:c>
      <x:c r="U114" s="506" t="str">
        <x:f>IF(AND(K114="No",L114="No",M114="Clean",O114="Confirmed",P114="Validated",Q114="No",R114="Valid"),"Ready","Hold")</x:f>
        <x:v>Ready</x:v>
      </x:c>
      <x:c r="V114" s="507" t="str">
        <x:f>IF(U114="Ready","No action",IF(K114="Yes","Resolve duplicate and confirm surviving record",IF(L114="Yes","Populate and validate email","Complete remediation and validation")))</x:f>
        <x:v>No action</x:v>
      </x:c>
    </x:row>
    <x:row r="115">
      <x:c r="A115" s="505" t="n">
        <x:v>1115</x:v>
      </x:c>
      <x:c r="B115" s="506" t="str">
        <x:v>Emp115</x:v>
      </x:c>
      <x:c r="C115" s="506" t="str">
        <x:v>User115</x:v>
      </x:c>
      <x:c r="D115" s="506" t="str">
        <x:v>USA</x:v>
      </x:c>
      <x:c r="E115" s="506" t="str">
        <x:v>Marketing</x:v>
      </x:c>
      <x:c r="F115" s="506" t="str">
        <x:v>emp115@company.com</x:v>
      </x:c>
      <x:c r="G115" s="506" t="str">
        <x:v>emp115</x:v>
      </x:c>
      <x:c r="H115" s="506" t="str">
        <x:v>BHR115</x:v>
      </x:c>
      <x:c r="I115" s="506" t="str">
        <x:v>MAC115</x:v>
      </x:c>
      <x:c r="J115" s="506" t="str">
        <x:v>XY115</x:v>
      </x:c>
      <x:c r="K115" s="506" t="str">
        <x:v>No</x:v>
      </x:c>
      <x:c r="L115" s="506" t="str">
        <x:v>No</x:v>
      </x:c>
      <x:c r="M115" s="506" t="str">
        <x:v>Clean</x:v>
      </x:c>
      <x:c r="N115" s="506" t="str">
        <x:v>Active Directory</x:v>
      </x:c>
      <x:c r="O115" s="506" t="str">
        <x:v>Confirmed</x:v>
      </x:c>
      <x:c r="P115" s="506" t="str">
        <x:v>Validated</x:v>
      </x:c>
      <x:c r="Q115" s="506" t="str">
        <x:f>IF(OR(COUNTIF($A$2:$A$201,A115)&gt;1,COUNTIF($G$2:$G$201,G115)&gt;1,AND(F115&lt;&gt;"",COUNTIF($F$2:$F$201,F115)&gt;1),COUNTIF($H$2:$H$201,H115)&gt;1,COUNTIF($I$2:$I$201,I115)&gt;1,COUNTIF($J$2:$J$201,J115)&gt;1),"Yes","No")</x:f>
        <x:v>No</x:v>
      </x:c>
      <x:c r="R115" s="506" t="str">
        <x:f>IF(F115="","Missing",IF(AND(ISNUMBER(SEARCH("@",F115)),ISNUMBER(SEARCH(".",F115))),"Valid","Invalid"))</x:f>
        <x:v>Valid</x:v>
      </x:c>
      <x:c r="S115" s="506" t="n">
        <x:f>IF(K115="Yes",1,0)+IF(L115="Yes",1,0)+IF(M115&lt;&gt;"Clean",1,0)+IF(O115&lt;&gt;"Confirmed",1,0)+IF(P115&lt;&gt;"Validated",1,0)+IF(Q115="Yes",1,0)+IF(R115&lt;&gt;"Valid",1,0)</x:f>
        <x:v>0</x:v>
      </x:c>
      <x:c r="T115" s="517" t="n">
        <x:f>MAX(0,1-S115/7)</x:f>
        <x:v>1</x:v>
      </x:c>
      <x:c r="U115" s="506" t="str">
        <x:f>IF(AND(K115="No",L115="No",M115="Clean",O115="Confirmed",P115="Validated",Q115="No",R115="Valid"),"Ready","Hold")</x:f>
        <x:v>Ready</x:v>
      </x:c>
      <x:c r="V115" s="507" t="str">
        <x:f>IF(U115="Ready","No action",IF(K115="Yes","Resolve duplicate and confirm surviving record",IF(L115="Yes","Populate and validate email","Complete remediation and validation")))</x:f>
        <x:v>No action</x:v>
      </x:c>
    </x:row>
    <x:row r="116">
      <x:c r="A116" s="505" t="n">
        <x:v>1116</x:v>
      </x:c>
      <x:c r="B116" s="506" t="str">
        <x:v>Emp116</x:v>
      </x:c>
      <x:c r="C116" s="506" t="str">
        <x:v>User116</x:v>
      </x:c>
      <x:c r="D116" s="506" t="str">
        <x:v>Canada</x:v>
      </x:c>
      <x:c r="E116" s="506" t="str">
        <x:v>HR</x:v>
      </x:c>
      <x:c r="F116" s="506"/>
      <x:c r="G116" s="506" t="str">
        <x:v>emp116</x:v>
      </x:c>
      <x:c r="H116" s="506" t="str">
        <x:v>BHR116</x:v>
      </x:c>
      <x:c r="I116" s="506" t="str">
        <x:v>MAC116</x:v>
      </x:c>
      <x:c r="J116" s="506" t="str">
        <x:v>XY116</x:v>
      </x:c>
      <x:c r="K116" s="506" t="str">
        <x:v>No</x:v>
      </x:c>
      <x:c r="L116" s="506" t="str">
        <x:v>Yes</x:v>
      </x:c>
      <x:c r="M116" s="506" t="str">
        <x:v>Issue</x:v>
      </x:c>
      <x:c r="N116" s="506" t="str">
        <x:v>Maconomy</x:v>
      </x:c>
      <x:c r="O116" s="506" t="str">
        <x:v>Pending</x:v>
      </x:c>
      <x:c r="P116" s="506" t="str">
        <x:v>Pending</x:v>
      </x:c>
      <x:c r="Q116" s="506" t="str">
        <x:f>IF(OR(COUNTIF($A$2:$A$201,A116)&gt;1,COUNTIF($G$2:$G$201,G116)&gt;1,AND(F116&lt;&gt;"",COUNTIF($F$2:$F$201,F116)&gt;1),COUNTIF($H$2:$H$201,H116)&gt;1,COUNTIF($I$2:$I$201,I116)&gt;1,COUNTIF($J$2:$J$201,J116)&gt;1),"Yes","No")</x:f>
        <x:v>No</x:v>
      </x:c>
      <x:c r="R116" s="506" t="str">
        <x:f>IF(F116="","Missing",IF(AND(ISNUMBER(SEARCH("@",F116)),ISNUMBER(SEARCH(".",F116))),"Valid","Invalid"))</x:f>
        <x:v>Missing</x:v>
      </x:c>
      <x:c r="S116" s="506" t="n">
        <x:f>IF(K116="Yes",1,0)+IF(L116="Yes",1,0)+IF(M116&lt;&gt;"Clean",1,0)+IF(O116&lt;&gt;"Confirmed",1,0)+IF(P116&lt;&gt;"Validated",1,0)+IF(Q116="Yes",1,0)+IF(R116&lt;&gt;"Valid",1,0)</x:f>
        <x:v>5</x:v>
      </x:c>
      <x:c r="T116" s="517" t="n">
        <x:f>MAX(0,1-S116/7)</x:f>
        <x:v>0.2857142857142857</x:v>
      </x:c>
      <x:c r="U116" s="506" t="str">
        <x:f>IF(AND(K116="No",L116="No",M116="Clean",O116="Confirmed",P116="Validated",Q116="No",R116="Valid"),"Ready","Hold")</x:f>
        <x:v>Hold</x:v>
      </x:c>
      <x:c r="V116" s="507" t="str">
        <x:f>IF(U116="Ready","No action",IF(K116="Yes","Resolve duplicate and confirm surviving record",IF(L116="Yes","Populate and validate email","Complete remediation and validation")))</x:f>
        <x:v>Populate and validate email</x:v>
      </x:c>
    </x:row>
    <x:row r="117">
      <x:c r="A117" s="505" t="n">
        <x:v>1117</x:v>
      </x:c>
      <x:c r="B117" s="506" t="str">
        <x:v>Emp117</x:v>
      </x:c>
      <x:c r="C117" s="506" t="str">
        <x:v>User117</x:v>
      </x:c>
      <x:c r="D117" s="506" t="str">
        <x:v>Germany</x:v>
      </x:c>
      <x:c r="E117" s="506" t="str">
        <x:v>Finance</x:v>
      </x:c>
      <x:c r="F117" s="506" t="str">
        <x:v>emp117@company.com</x:v>
      </x:c>
      <x:c r="G117" s="506" t="str">
        <x:v>emp117</x:v>
      </x:c>
      <x:c r="H117" s="506" t="str">
        <x:v>BHR117</x:v>
      </x:c>
      <x:c r="I117" s="506" t="str">
        <x:v>MAC117</x:v>
      </x:c>
      <x:c r="J117" s="506" t="str">
        <x:v>XY117</x:v>
      </x:c>
      <x:c r="K117" s="506" t="str">
        <x:v>No</x:v>
      </x:c>
      <x:c r="L117" s="506" t="str">
        <x:v>No</x:v>
      </x:c>
      <x:c r="M117" s="506" t="str">
        <x:v>Clean</x:v>
      </x:c>
      <x:c r="N117" s="506" t="str">
        <x:v>Xytech</x:v>
      </x:c>
      <x:c r="O117" s="506" t="str">
        <x:v>Confirmed</x:v>
      </x:c>
      <x:c r="P117" s="506" t="str">
        <x:v>Validated</x:v>
      </x:c>
      <x:c r="Q117" s="506" t="str">
        <x:f>IF(OR(COUNTIF($A$2:$A$201,A117)&gt;1,COUNTIF($G$2:$G$201,G117)&gt;1,AND(F117&lt;&gt;"",COUNTIF($F$2:$F$201,F117)&gt;1),COUNTIF($H$2:$H$201,H117)&gt;1,COUNTIF($I$2:$I$201,I117)&gt;1,COUNTIF($J$2:$J$201,J117)&gt;1),"Yes","No")</x:f>
        <x:v>No</x:v>
      </x:c>
      <x:c r="R117" s="506" t="str">
        <x:f>IF(F117="","Missing",IF(AND(ISNUMBER(SEARCH("@",F117)),ISNUMBER(SEARCH(".",F117))),"Valid","Invalid"))</x:f>
        <x:v>Valid</x:v>
      </x:c>
      <x:c r="S117" s="506" t="n">
        <x:f>IF(K117="Yes",1,0)+IF(L117="Yes",1,0)+IF(M117&lt;&gt;"Clean",1,0)+IF(O117&lt;&gt;"Confirmed",1,0)+IF(P117&lt;&gt;"Validated",1,0)+IF(Q117="Yes",1,0)+IF(R117&lt;&gt;"Valid",1,0)</x:f>
        <x:v>0</x:v>
      </x:c>
      <x:c r="T117" s="517" t="n">
        <x:f>MAX(0,1-S117/7)</x:f>
        <x:v>1</x:v>
      </x:c>
      <x:c r="U117" s="506" t="str">
        <x:f>IF(AND(K117="No",L117="No",M117="Clean",O117="Confirmed",P117="Validated",Q117="No",R117="Valid"),"Ready","Hold")</x:f>
        <x:v>Ready</x:v>
      </x:c>
      <x:c r="V117" s="507" t="str">
        <x:f>IF(U117="Ready","No action",IF(K117="Yes","Resolve duplicate and confirm surviving record",IF(L117="Yes","Populate and validate email","Complete remediation and validation")))</x:f>
        <x:v>No action</x:v>
      </x:c>
    </x:row>
    <x:row r="118">
      <x:c r="A118" s="505" t="n">
        <x:v>1118</x:v>
      </x:c>
      <x:c r="B118" s="506" t="str">
        <x:v>Emp118</x:v>
      </x:c>
      <x:c r="C118" s="506" t="str">
        <x:v>User118</x:v>
      </x:c>
      <x:c r="D118" s="506" t="str">
        <x:v>India</x:v>
      </x:c>
      <x:c r="E118" s="506" t="str">
        <x:v>IT</x:v>
      </x:c>
      <x:c r="F118" s="506" t="str">
        <x:v>emp118@company.com</x:v>
      </x:c>
      <x:c r="G118" s="506" t="str">
        <x:v>emp118</x:v>
      </x:c>
      <x:c r="H118" s="506" t="str">
        <x:v>BHR118</x:v>
      </x:c>
      <x:c r="I118" s="506" t="str">
        <x:v>MAC118</x:v>
      </x:c>
      <x:c r="J118" s="506" t="str">
        <x:v>XY118</x:v>
      </x:c>
      <x:c r="K118" s="506" t="str">
        <x:v>No</x:v>
      </x:c>
      <x:c r="L118" s="506" t="str">
        <x:v>No</x:v>
      </x:c>
      <x:c r="M118" s="506" t="str">
        <x:v>Clean</x:v>
      </x:c>
      <x:c r="N118" s="506" t="str">
        <x:v>BambooHR</x:v>
      </x:c>
      <x:c r="O118" s="506" t="str">
        <x:v>Confirmed</x:v>
      </x:c>
      <x:c r="P118" s="506" t="str">
        <x:v>Validated</x:v>
      </x:c>
      <x:c r="Q118" s="506" t="str">
        <x:f>IF(OR(COUNTIF($A$2:$A$201,A118)&gt;1,COUNTIF($G$2:$G$201,G118)&gt;1,AND(F118&lt;&gt;"",COUNTIF($F$2:$F$201,F118)&gt;1),COUNTIF($H$2:$H$201,H118)&gt;1,COUNTIF($I$2:$I$201,I118)&gt;1,COUNTIF($J$2:$J$201,J118)&gt;1),"Yes","No")</x:f>
        <x:v>No</x:v>
      </x:c>
      <x:c r="R118" s="506" t="str">
        <x:f>IF(F118="","Missing",IF(AND(ISNUMBER(SEARCH("@",F118)),ISNUMBER(SEARCH(".",F118))),"Valid","Invalid"))</x:f>
        <x:v>Valid</x:v>
      </x:c>
      <x:c r="S118" s="506" t="n">
        <x:f>IF(K118="Yes",1,0)+IF(L118="Yes",1,0)+IF(M118&lt;&gt;"Clean",1,0)+IF(O118&lt;&gt;"Confirmed",1,0)+IF(P118&lt;&gt;"Validated",1,0)+IF(Q118="Yes",1,0)+IF(R118&lt;&gt;"Valid",1,0)</x:f>
        <x:v>0</x:v>
      </x:c>
      <x:c r="T118" s="517" t="n">
        <x:f>MAX(0,1-S118/7)</x:f>
        <x:v>1</x:v>
      </x:c>
      <x:c r="U118" s="506" t="str">
        <x:f>IF(AND(K118="No",L118="No",M118="Clean",O118="Confirmed",P118="Validated",Q118="No",R118="Valid"),"Ready","Hold")</x:f>
        <x:v>Ready</x:v>
      </x:c>
      <x:c r="V118" s="507" t="str">
        <x:f>IF(U118="Ready","No action",IF(K118="Yes","Resolve duplicate and confirm surviving record",IF(L118="Yes","Populate and validate email","Complete remediation and validation")))</x:f>
        <x:v>No action</x:v>
      </x:c>
    </x:row>
    <x:row r="119">
      <x:c r="A119" s="505" t="n">
        <x:v>1119</x:v>
      </x:c>
      <x:c r="B119" s="506" t="str">
        <x:v>Emp119</x:v>
      </x:c>
      <x:c r="C119" s="506" t="str">
        <x:v>User119</x:v>
      </x:c>
      <x:c r="D119" s="506" t="str">
        <x:v>Australia</x:v>
      </x:c>
      <x:c r="E119" s="506" t="str">
        <x:v>Operations</x:v>
      </x:c>
      <x:c r="F119" s="506" t="str">
        <x:v>emp119@company.com</x:v>
      </x:c>
      <x:c r="G119" s="506" t="str">
        <x:v>emp119</x:v>
      </x:c>
      <x:c r="H119" s="506" t="str">
        <x:v>BHR119</x:v>
      </x:c>
      <x:c r="I119" s="506" t="str">
        <x:v>MAC119</x:v>
      </x:c>
      <x:c r="J119" s="506" t="str">
        <x:v>XY119</x:v>
      </x:c>
      <x:c r="K119" s="506" t="str">
        <x:v>No</x:v>
      </x:c>
      <x:c r="L119" s="506" t="str">
        <x:v>No</x:v>
      </x:c>
      <x:c r="M119" s="506" t="str">
        <x:v>Clean</x:v>
      </x:c>
      <x:c r="N119" s="506" t="str">
        <x:v>Active Directory</x:v>
      </x:c>
      <x:c r="O119" s="506" t="str">
        <x:v>Confirmed</x:v>
      </x:c>
      <x:c r="P119" s="506" t="str">
        <x:v>Validated</x:v>
      </x:c>
      <x:c r="Q119" s="506" t="str">
        <x:f>IF(OR(COUNTIF($A$2:$A$201,A119)&gt;1,COUNTIF($G$2:$G$201,G119)&gt;1,AND(F119&lt;&gt;"",COUNTIF($F$2:$F$201,F119)&gt;1),COUNTIF($H$2:$H$201,H119)&gt;1,COUNTIF($I$2:$I$201,I119)&gt;1,COUNTIF($J$2:$J$201,J119)&gt;1),"Yes","No")</x:f>
        <x:v>No</x:v>
      </x:c>
      <x:c r="R119" s="506" t="str">
        <x:f>IF(F119="","Missing",IF(AND(ISNUMBER(SEARCH("@",F119)),ISNUMBER(SEARCH(".",F119))),"Valid","Invalid"))</x:f>
        <x:v>Valid</x:v>
      </x:c>
      <x:c r="S119" s="506" t="n">
        <x:f>IF(K119="Yes",1,0)+IF(L119="Yes",1,0)+IF(M119&lt;&gt;"Clean",1,0)+IF(O119&lt;&gt;"Confirmed",1,0)+IF(P119&lt;&gt;"Validated",1,0)+IF(Q119="Yes",1,0)+IF(R119&lt;&gt;"Valid",1,0)</x:f>
        <x:v>0</x:v>
      </x:c>
      <x:c r="T119" s="517" t="n">
        <x:f>MAX(0,1-S119/7)</x:f>
        <x:v>1</x:v>
      </x:c>
      <x:c r="U119" s="506" t="str">
        <x:f>IF(AND(K119="No",L119="No",M119="Clean",O119="Confirmed",P119="Validated",Q119="No",R119="Valid"),"Ready","Hold")</x:f>
        <x:v>Ready</x:v>
      </x:c>
      <x:c r="V119" s="507" t="str">
        <x:f>IF(U119="Ready","No action",IF(K119="Yes","Resolve duplicate and confirm surviving record",IF(L119="Yes","Populate and validate email","Complete remediation and validation")))</x:f>
        <x:v>No action</x:v>
      </x:c>
    </x:row>
    <x:row r="120">
      <x:c r="A120" s="505" t="n">
        <x:v>1120</x:v>
      </x:c>
      <x:c r="B120" s="506" t="str">
        <x:v>Emp120</x:v>
      </x:c>
      <x:c r="C120" s="506" t="str">
        <x:v>User120</x:v>
      </x:c>
      <x:c r="D120" s="506" t="str">
        <x:v>UAE</x:v>
      </x:c>
      <x:c r="E120" s="506" t="str">
        <x:v>Sales</x:v>
      </x:c>
      <x:c r="F120" s="506" t="str">
        <x:v>emp120@company.com</x:v>
      </x:c>
      <x:c r="G120" s="506" t="str">
        <x:v>emp120</x:v>
      </x:c>
      <x:c r="H120" s="506" t="str">
        <x:v>BHR120</x:v>
      </x:c>
      <x:c r="I120" s="506" t="str">
        <x:v>MAC120</x:v>
      </x:c>
      <x:c r="J120" s="506" t="str">
        <x:v>XY120</x:v>
      </x:c>
      <x:c r="K120" s="506" t="str">
        <x:v>No</x:v>
      </x:c>
      <x:c r="L120" s="506" t="str">
        <x:v>No</x:v>
      </x:c>
      <x:c r="M120" s="506" t="str">
        <x:v>Clean</x:v>
      </x:c>
      <x:c r="N120" s="506" t="str">
        <x:v>Maconomy</x:v>
      </x:c>
      <x:c r="O120" s="506" t="str">
        <x:v>Confirmed</x:v>
      </x:c>
      <x:c r="P120" s="506" t="str">
        <x:v>Validated</x:v>
      </x:c>
      <x:c r="Q120" s="506" t="str">
        <x:f>IF(OR(COUNTIF($A$2:$A$201,A120)&gt;1,COUNTIF($G$2:$G$201,G120)&gt;1,AND(F120&lt;&gt;"",COUNTIF($F$2:$F$201,F120)&gt;1),COUNTIF($H$2:$H$201,H120)&gt;1,COUNTIF($I$2:$I$201,I120)&gt;1,COUNTIF($J$2:$J$201,J120)&gt;1),"Yes","No")</x:f>
        <x:v>No</x:v>
      </x:c>
      <x:c r="R120" s="506" t="str">
        <x:f>IF(F120="","Missing",IF(AND(ISNUMBER(SEARCH("@",F120)),ISNUMBER(SEARCH(".",F120))),"Valid","Invalid"))</x:f>
        <x:v>Valid</x:v>
      </x:c>
      <x:c r="S120" s="506" t="n">
        <x:f>IF(K120="Yes",1,0)+IF(L120="Yes",1,0)+IF(M120&lt;&gt;"Clean",1,0)+IF(O120&lt;&gt;"Confirmed",1,0)+IF(P120&lt;&gt;"Validated",1,0)+IF(Q120="Yes",1,0)+IF(R120&lt;&gt;"Valid",1,0)</x:f>
        <x:v>0</x:v>
      </x:c>
      <x:c r="T120" s="517" t="n">
        <x:f>MAX(0,1-S120/7)</x:f>
        <x:v>1</x:v>
      </x:c>
      <x:c r="U120" s="506" t="str">
        <x:f>IF(AND(K120="No",L120="No",M120="Clean",O120="Confirmed",P120="Validated",Q120="No",R120="Valid"),"Ready","Hold")</x:f>
        <x:v>Ready</x:v>
      </x:c>
      <x:c r="V120" s="507" t="str">
        <x:f>IF(U120="Ready","No action",IF(K120="Yes","Resolve duplicate and confirm surviving record",IF(L120="Yes","Populate and validate email","Complete remediation and validation")))</x:f>
        <x:v>No action</x:v>
      </x:c>
    </x:row>
    <x:row r="121">
      <x:c r="A121" s="505" t="n">
        <x:v>1121</x:v>
      </x:c>
      <x:c r="B121" s="506" t="str">
        <x:v>Emp121</x:v>
      </x:c>
      <x:c r="C121" s="506" t="str">
        <x:v>User121</x:v>
      </x:c>
      <x:c r="D121" s="506" t="str">
        <x:v>France</x:v>
      </x:c>
      <x:c r="E121" s="506" t="str">
        <x:v>Marketing</x:v>
      </x:c>
      <x:c r="F121" s="506" t="str">
        <x:v>emp121@company.com</x:v>
      </x:c>
      <x:c r="G121" s="506" t="str">
        <x:v>emp121</x:v>
      </x:c>
      <x:c r="H121" s="506" t="str">
        <x:v>BHR121</x:v>
      </x:c>
      <x:c r="I121" s="506" t="str">
        <x:v>MAC121</x:v>
      </x:c>
      <x:c r="J121" s="506" t="str">
        <x:v>XY121</x:v>
      </x:c>
      <x:c r="K121" s="506" t="str">
        <x:v>No</x:v>
      </x:c>
      <x:c r="L121" s="506" t="str">
        <x:v>No</x:v>
      </x:c>
      <x:c r="M121" s="506" t="str">
        <x:v>Clean</x:v>
      </x:c>
      <x:c r="N121" s="506" t="str">
        <x:v>Xytech</x:v>
      </x:c>
      <x:c r="O121" s="506" t="str">
        <x:v>Confirmed</x:v>
      </x:c>
      <x:c r="P121" s="506" t="str">
        <x:v>Validated</x:v>
      </x:c>
      <x:c r="Q121" s="506" t="str">
        <x:f>IF(OR(COUNTIF($A$2:$A$201,A121)&gt;1,COUNTIF($G$2:$G$201,G121)&gt;1,AND(F121&lt;&gt;"",COUNTIF($F$2:$F$201,F121)&gt;1),COUNTIF($H$2:$H$201,H121)&gt;1,COUNTIF($I$2:$I$201,I121)&gt;1,COUNTIF($J$2:$J$201,J121)&gt;1),"Yes","No")</x:f>
        <x:v>No</x:v>
      </x:c>
      <x:c r="R121" s="506" t="str">
        <x:f>IF(F121="","Missing",IF(AND(ISNUMBER(SEARCH("@",F121)),ISNUMBER(SEARCH(".",F121))),"Valid","Invalid"))</x:f>
        <x:v>Valid</x:v>
      </x:c>
      <x:c r="S121" s="506" t="n">
        <x:f>IF(K121="Yes",1,0)+IF(L121="Yes",1,0)+IF(M121&lt;&gt;"Clean",1,0)+IF(O121&lt;&gt;"Confirmed",1,0)+IF(P121&lt;&gt;"Validated",1,0)+IF(Q121="Yes",1,0)+IF(R121&lt;&gt;"Valid",1,0)</x:f>
        <x:v>0</x:v>
      </x:c>
      <x:c r="T121" s="517" t="n">
        <x:f>MAX(0,1-S121/7)</x:f>
        <x:v>1</x:v>
      </x:c>
      <x:c r="U121" s="506" t="str">
        <x:f>IF(AND(K121="No",L121="No",M121="Clean",O121="Confirmed",P121="Validated",Q121="No",R121="Valid"),"Ready","Hold")</x:f>
        <x:v>Ready</x:v>
      </x:c>
      <x:c r="V121" s="507" t="str">
        <x:f>IF(U121="Ready","No action",IF(K121="Yes","Resolve duplicate and confirm surviving record",IF(L121="Yes","Populate and validate email","Complete remediation and validation")))</x:f>
        <x:v>No action</x:v>
      </x:c>
    </x:row>
    <x:row r="122">
      <x:c r="A122" s="505" t="n">
        <x:v>1122</x:v>
      </x:c>
      <x:c r="B122" s="506" t="str">
        <x:v>Emp122</x:v>
      </x:c>
      <x:c r="C122" s="506" t="str">
        <x:v>User122</x:v>
      </x:c>
      <x:c r="D122" s="506" t="str">
        <x:v>Nigeria</x:v>
      </x:c>
      <x:c r="E122" s="506" t="str">
        <x:v>HR</x:v>
      </x:c>
      <x:c r="F122" s="506" t="str">
        <x:v>emp122@company.com</x:v>
      </x:c>
      <x:c r="G122" s="506" t="str">
        <x:v>emp122</x:v>
      </x:c>
      <x:c r="H122" s="506" t="str">
        <x:v>BHR122</x:v>
      </x:c>
      <x:c r="I122" s="506" t="str">
        <x:v>MAC122</x:v>
      </x:c>
      <x:c r="J122" s="506" t="str">
        <x:v>XY122</x:v>
      </x:c>
      <x:c r="K122" s="506" t="str">
        <x:v>No</x:v>
      </x:c>
      <x:c r="L122" s="506" t="str">
        <x:v>No</x:v>
      </x:c>
      <x:c r="M122" s="506" t="str">
        <x:v>Clean</x:v>
      </x:c>
      <x:c r="N122" s="506" t="str">
        <x:v>BambooHR</x:v>
      </x:c>
      <x:c r="O122" s="506" t="str">
        <x:v>Confirmed</x:v>
      </x:c>
      <x:c r="P122" s="506" t="str">
        <x:v>Validated</x:v>
      </x:c>
      <x:c r="Q122" s="506" t="str">
        <x:f>IF(OR(COUNTIF($A$2:$A$201,A122)&gt;1,COUNTIF($G$2:$G$201,G122)&gt;1,AND(F122&lt;&gt;"",COUNTIF($F$2:$F$201,F122)&gt;1),COUNTIF($H$2:$H$201,H122)&gt;1,COUNTIF($I$2:$I$201,I122)&gt;1,COUNTIF($J$2:$J$201,J122)&gt;1),"Yes","No")</x:f>
        <x:v>No</x:v>
      </x:c>
      <x:c r="R122" s="506" t="str">
        <x:f>IF(F122="","Missing",IF(AND(ISNUMBER(SEARCH("@",F122)),ISNUMBER(SEARCH(".",F122))),"Valid","Invalid"))</x:f>
        <x:v>Valid</x:v>
      </x:c>
      <x:c r="S122" s="506" t="n">
        <x:f>IF(K122="Yes",1,0)+IF(L122="Yes",1,0)+IF(M122&lt;&gt;"Clean",1,0)+IF(O122&lt;&gt;"Confirmed",1,0)+IF(P122&lt;&gt;"Validated",1,0)+IF(Q122="Yes",1,0)+IF(R122&lt;&gt;"Valid",1,0)</x:f>
        <x:v>0</x:v>
      </x:c>
      <x:c r="T122" s="517" t="n">
        <x:f>MAX(0,1-S122/7)</x:f>
        <x:v>1</x:v>
      </x:c>
      <x:c r="U122" s="506" t="str">
        <x:f>IF(AND(K122="No",L122="No",M122="Clean",O122="Confirmed",P122="Validated",Q122="No",R122="Valid"),"Ready","Hold")</x:f>
        <x:v>Ready</x:v>
      </x:c>
      <x:c r="V122" s="507" t="str">
        <x:f>IF(U122="Ready","No action",IF(K122="Yes","Resolve duplicate and confirm surviving record",IF(L122="Yes","Populate and validate email","Complete remediation and validation")))</x:f>
        <x:v>No action</x:v>
      </x:c>
    </x:row>
    <x:row r="123">
      <x:c r="A123" s="505" t="n">
        <x:v>1123</x:v>
      </x:c>
      <x:c r="B123" s="506" t="str">
        <x:v>Emp123</x:v>
      </x:c>
      <x:c r="C123" s="506" t="str">
        <x:v>User123</x:v>
      </x:c>
      <x:c r="D123" s="506" t="str">
        <x:v>Gambia</x:v>
      </x:c>
      <x:c r="E123" s="506" t="str">
        <x:v>Finance</x:v>
      </x:c>
      <x:c r="F123" s="506" t="str">
        <x:v>emp123@company.com</x:v>
      </x:c>
      <x:c r="G123" s="506" t="str">
        <x:v>emp123</x:v>
      </x:c>
      <x:c r="H123" s="506" t="str">
        <x:v>BHR123</x:v>
      </x:c>
      <x:c r="I123" s="506" t="str">
        <x:v>MAC123</x:v>
      </x:c>
      <x:c r="J123" s="506" t="str">
        <x:v>XY123</x:v>
      </x:c>
      <x:c r="K123" s="506" t="str">
        <x:v>No</x:v>
      </x:c>
      <x:c r="L123" s="506" t="str">
        <x:v>No</x:v>
      </x:c>
      <x:c r="M123" s="506" t="str">
        <x:v>Clean</x:v>
      </x:c>
      <x:c r="N123" s="506" t="str">
        <x:v>Active Directory</x:v>
      </x:c>
      <x:c r="O123" s="506" t="str">
        <x:v>Confirmed</x:v>
      </x:c>
      <x:c r="P123" s="506" t="str">
        <x:v>Validated</x:v>
      </x:c>
      <x:c r="Q123" s="506" t="str">
        <x:f>IF(OR(COUNTIF($A$2:$A$201,A123)&gt;1,COUNTIF($G$2:$G$201,G123)&gt;1,AND(F123&lt;&gt;"",COUNTIF($F$2:$F$201,F123)&gt;1),COUNTIF($H$2:$H$201,H123)&gt;1,COUNTIF($I$2:$I$201,I123)&gt;1,COUNTIF($J$2:$J$201,J123)&gt;1),"Yes","No")</x:f>
        <x:v>No</x:v>
      </x:c>
      <x:c r="R123" s="506" t="str">
        <x:f>IF(F123="","Missing",IF(AND(ISNUMBER(SEARCH("@",F123)),ISNUMBER(SEARCH(".",F123))),"Valid","Invalid"))</x:f>
        <x:v>Valid</x:v>
      </x:c>
      <x:c r="S123" s="506" t="n">
        <x:f>IF(K123="Yes",1,0)+IF(L123="Yes",1,0)+IF(M123&lt;&gt;"Clean",1,0)+IF(O123&lt;&gt;"Confirmed",1,0)+IF(P123&lt;&gt;"Validated",1,0)+IF(Q123="Yes",1,0)+IF(R123&lt;&gt;"Valid",1,0)</x:f>
        <x:v>0</x:v>
      </x:c>
      <x:c r="T123" s="517" t="n">
        <x:f>MAX(0,1-S123/7)</x:f>
        <x:v>1</x:v>
      </x:c>
      <x:c r="U123" s="506" t="str">
        <x:f>IF(AND(K123="No",L123="No",M123="Clean",O123="Confirmed",P123="Validated",Q123="No",R123="Valid"),"Ready","Hold")</x:f>
        <x:v>Ready</x:v>
      </x:c>
      <x:c r="V123" s="507" t="str">
        <x:f>IF(U123="Ready","No action",IF(K123="Yes","Resolve duplicate and confirm surviving record",IF(L123="Yes","Populate and validate email","Complete remediation and validation")))</x:f>
        <x:v>No action</x:v>
      </x:c>
    </x:row>
    <x:row r="124">
      <x:c r="A124" s="505" t="n">
        <x:v>1124</x:v>
      </x:c>
      <x:c r="B124" s="506" t="str">
        <x:v>Emp124</x:v>
      </x:c>
      <x:c r="C124" s="506" t="str">
        <x:v>User124</x:v>
      </x:c>
      <x:c r="D124" s="506" t="str">
        <x:v>Spain</x:v>
      </x:c>
      <x:c r="E124" s="506" t="str">
        <x:v>IT</x:v>
      </x:c>
      <x:c r="F124" s="506" t="str">
        <x:v>emp124@company.com</x:v>
      </x:c>
      <x:c r="G124" s="506" t="str">
        <x:v>emp124</x:v>
      </x:c>
      <x:c r="H124" s="506" t="str">
        <x:v>BHR124</x:v>
      </x:c>
      <x:c r="I124" s="506" t="str">
        <x:v>MAC124</x:v>
      </x:c>
      <x:c r="J124" s="506" t="str">
        <x:v>XY124</x:v>
      </x:c>
      <x:c r="K124" s="506" t="str">
        <x:v>No</x:v>
      </x:c>
      <x:c r="L124" s="506" t="str">
        <x:v>No</x:v>
      </x:c>
      <x:c r="M124" s="506" t="str">
        <x:v>Clean</x:v>
      </x:c>
      <x:c r="N124" s="506" t="str">
        <x:v>Maconomy</x:v>
      </x:c>
      <x:c r="O124" s="506" t="str">
        <x:v>Confirmed</x:v>
      </x:c>
      <x:c r="P124" s="506" t="str">
        <x:v>Validated</x:v>
      </x:c>
      <x:c r="Q124" s="506" t="str">
        <x:f>IF(OR(COUNTIF($A$2:$A$201,A124)&gt;1,COUNTIF($G$2:$G$201,G124)&gt;1,AND(F124&lt;&gt;"",COUNTIF($F$2:$F$201,F124)&gt;1),COUNTIF($H$2:$H$201,H124)&gt;1,COUNTIF($I$2:$I$201,I124)&gt;1,COUNTIF($J$2:$J$201,J124)&gt;1),"Yes","No")</x:f>
        <x:v>No</x:v>
      </x:c>
      <x:c r="R124" s="506" t="str">
        <x:f>IF(F124="","Missing",IF(AND(ISNUMBER(SEARCH("@",F124)),ISNUMBER(SEARCH(".",F124))),"Valid","Invalid"))</x:f>
        <x:v>Valid</x:v>
      </x:c>
      <x:c r="S124" s="506" t="n">
        <x:f>IF(K124="Yes",1,0)+IF(L124="Yes",1,0)+IF(M124&lt;&gt;"Clean",1,0)+IF(O124&lt;&gt;"Confirmed",1,0)+IF(P124&lt;&gt;"Validated",1,0)+IF(Q124="Yes",1,0)+IF(R124&lt;&gt;"Valid",1,0)</x:f>
        <x:v>0</x:v>
      </x:c>
      <x:c r="T124" s="517" t="n">
        <x:f>MAX(0,1-S124/7)</x:f>
        <x:v>1</x:v>
      </x:c>
      <x:c r="U124" s="506" t="str">
        <x:f>IF(AND(K124="No",L124="No",M124="Clean",O124="Confirmed",P124="Validated",Q124="No",R124="Valid"),"Ready","Hold")</x:f>
        <x:v>Ready</x:v>
      </x:c>
      <x:c r="V124" s="507" t="str">
        <x:f>IF(U124="Ready","No action",IF(K124="Yes","Resolve duplicate and confirm surviving record",IF(L124="Yes","Populate and validate email","Complete remediation and validation")))</x:f>
        <x:v>No action</x:v>
      </x:c>
    </x:row>
    <x:row r="125">
      <x:c r="A125" s="505" t="n">
        <x:v>1125</x:v>
      </x:c>
      <x:c r="B125" s="506" t="str">
        <x:v>Emp125</x:v>
      </x:c>
      <x:c r="C125" s="506" t="str">
        <x:v>User125</x:v>
      </x:c>
      <x:c r="D125" s="506" t="str">
        <x:v>Netherlands</x:v>
      </x:c>
      <x:c r="E125" s="506" t="str">
        <x:v>Operations</x:v>
      </x:c>
      <x:c r="F125" s="506" t="str">
        <x:v>emp125@company.com</x:v>
      </x:c>
      <x:c r="G125" s="506" t="str">
        <x:v>emp125</x:v>
      </x:c>
      <x:c r="H125" s="506" t="str">
        <x:v>BHR125</x:v>
      </x:c>
      <x:c r="I125" s="506" t="str">
        <x:v>MAC125</x:v>
      </x:c>
      <x:c r="J125" s="506" t="str">
        <x:v>XY125</x:v>
      </x:c>
      <x:c r="K125" s="506" t="str">
        <x:v>No</x:v>
      </x:c>
      <x:c r="L125" s="506" t="str">
        <x:v>No</x:v>
      </x:c>
      <x:c r="M125" s="506" t="str">
        <x:v>Clean</x:v>
      </x:c>
      <x:c r="N125" s="506" t="str">
        <x:v>Xytech</x:v>
      </x:c>
      <x:c r="O125" s="506" t="str">
        <x:v>Confirmed</x:v>
      </x:c>
      <x:c r="P125" s="506" t="str">
        <x:v>Validated</x:v>
      </x:c>
      <x:c r="Q125" s="506" t="str">
        <x:f>IF(OR(COUNTIF($A$2:$A$201,A125)&gt;1,COUNTIF($G$2:$G$201,G125)&gt;1,AND(F125&lt;&gt;"",COUNTIF($F$2:$F$201,F125)&gt;1),COUNTIF($H$2:$H$201,H125)&gt;1,COUNTIF($I$2:$I$201,I125)&gt;1,COUNTIF($J$2:$J$201,J125)&gt;1),"Yes","No")</x:f>
        <x:v>No</x:v>
      </x:c>
      <x:c r="R125" s="506" t="str">
        <x:f>IF(F125="","Missing",IF(AND(ISNUMBER(SEARCH("@",F125)),ISNUMBER(SEARCH(".",F125))),"Valid","Invalid"))</x:f>
        <x:v>Valid</x:v>
      </x:c>
      <x:c r="S125" s="506" t="n">
        <x:f>IF(K125="Yes",1,0)+IF(L125="Yes",1,0)+IF(M125&lt;&gt;"Clean",1,0)+IF(O125&lt;&gt;"Confirmed",1,0)+IF(P125&lt;&gt;"Validated",1,0)+IF(Q125="Yes",1,0)+IF(R125&lt;&gt;"Valid",1,0)</x:f>
        <x:v>0</x:v>
      </x:c>
      <x:c r="T125" s="517" t="n">
        <x:f>MAX(0,1-S125/7)</x:f>
        <x:v>1</x:v>
      </x:c>
      <x:c r="U125" s="506" t="str">
        <x:f>IF(AND(K125="No",L125="No",M125="Clean",O125="Confirmed",P125="Validated",Q125="No",R125="Valid"),"Ready","Hold")</x:f>
        <x:v>Ready</x:v>
      </x:c>
      <x:c r="V125" s="507" t="str">
        <x:f>IF(U125="Ready","No action",IF(K125="Yes","Resolve duplicate and confirm surviving record",IF(L125="Yes","Populate and validate email","Complete remediation and validation")))</x:f>
        <x:v>No action</x:v>
      </x:c>
    </x:row>
    <x:row r="126">
      <x:c r="A126" s="505" t="n">
        <x:v>1126</x:v>
      </x:c>
      <x:c r="B126" s="506" t="str">
        <x:v>Emp126</x:v>
      </x:c>
      <x:c r="C126" s="506" t="str">
        <x:v>User126</x:v>
      </x:c>
      <x:c r="D126" s="506" t="str">
        <x:v>Singapore</x:v>
      </x:c>
      <x:c r="E126" s="506" t="str">
        <x:v>Sales</x:v>
      </x:c>
      <x:c r="F126" s="506" t="str">
        <x:v>emp126@company.com</x:v>
      </x:c>
      <x:c r="G126" s="506" t="str">
        <x:v>emp126</x:v>
      </x:c>
      <x:c r="H126" s="506" t="str">
        <x:v>BHR126</x:v>
      </x:c>
      <x:c r="I126" s="506" t="str">
        <x:v>MAC126</x:v>
      </x:c>
      <x:c r="J126" s="506" t="str">
        <x:v>XY126</x:v>
      </x:c>
      <x:c r="K126" s="506" t="str">
        <x:v>No</x:v>
      </x:c>
      <x:c r="L126" s="506" t="str">
        <x:v>No</x:v>
      </x:c>
      <x:c r="M126" s="506" t="str">
        <x:v>Clean</x:v>
      </x:c>
      <x:c r="N126" s="506" t="str">
        <x:v>BambooHR</x:v>
      </x:c>
      <x:c r="O126" s="506" t="str">
        <x:v>Confirmed</x:v>
      </x:c>
      <x:c r="P126" s="506" t="str">
        <x:v>Validated</x:v>
      </x:c>
      <x:c r="Q126" s="506" t="str">
        <x:f>IF(OR(COUNTIF($A$2:$A$201,A126)&gt;1,COUNTIF($G$2:$G$201,G126)&gt;1,AND(F126&lt;&gt;"",COUNTIF($F$2:$F$201,F126)&gt;1),COUNTIF($H$2:$H$201,H126)&gt;1,COUNTIF($I$2:$I$201,I126)&gt;1,COUNTIF($J$2:$J$201,J126)&gt;1),"Yes","No")</x:f>
        <x:v>No</x:v>
      </x:c>
      <x:c r="R126" s="506" t="str">
        <x:f>IF(F126="","Missing",IF(AND(ISNUMBER(SEARCH("@",F126)),ISNUMBER(SEARCH(".",F126))),"Valid","Invalid"))</x:f>
        <x:v>Valid</x:v>
      </x:c>
      <x:c r="S126" s="506" t="n">
        <x:f>IF(K126="Yes",1,0)+IF(L126="Yes",1,0)+IF(M126&lt;&gt;"Clean",1,0)+IF(O126&lt;&gt;"Confirmed",1,0)+IF(P126&lt;&gt;"Validated",1,0)+IF(Q126="Yes",1,0)+IF(R126&lt;&gt;"Valid",1,0)</x:f>
        <x:v>0</x:v>
      </x:c>
      <x:c r="T126" s="517" t="n">
        <x:f>MAX(0,1-S126/7)</x:f>
        <x:v>1</x:v>
      </x:c>
      <x:c r="U126" s="506" t="str">
        <x:f>IF(AND(K126="No",L126="No",M126="Clean",O126="Confirmed",P126="Validated",Q126="No",R126="Valid"),"Ready","Hold")</x:f>
        <x:v>Ready</x:v>
      </x:c>
      <x:c r="V126" s="507" t="str">
        <x:f>IF(U126="Ready","No action",IF(K126="Yes","Resolve duplicate and confirm surviving record",IF(L126="Yes","Populate and validate email","Complete remediation and validation")))</x:f>
        <x:v>No action</x:v>
      </x:c>
    </x:row>
    <x:row r="127">
      <x:c r="A127" s="505" t="n">
        <x:v>1127</x:v>
      </x:c>
      <x:c r="B127" s="506" t="str">
        <x:v>Emp127</x:v>
      </x:c>
      <x:c r="C127" s="506" t="str">
        <x:v>User127</x:v>
      </x:c>
      <x:c r="D127" s="506" t="str">
        <x:v>Brazil</x:v>
      </x:c>
      <x:c r="E127" s="506" t="str">
        <x:v>Marketing</x:v>
      </x:c>
      <x:c r="F127" s="506" t="str">
        <x:v>emp127@company.com</x:v>
      </x:c>
      <x:c r="G127" s="506" t="str">
        <x:v>emp127</x:v>
      </x:c>
      <x:c r="H127" s="506" t="str">
        <x:v>BHR127</x:v>
      </x:c>
      <x:c r="I127" s="506" t="str">
        <x:v>MAC127</x:v>
      </x:c>
      <x:c r="J127" s="506" t="str">
        <x:v>XY127</x:v>
      </x:c>
      <x:c r="K127" s="506" t="str">
        <x:v>No</x:v>
      </x:c>
      <x:c r="L127" s="506" t="str">
        <x:v>No</x:v>
      </x:c>
      <x:c r="M127" s="506" t="str">
        <x:v>Clean</x:v>
      </x:c>
      <x:c r="N127" s="506" t="str">
        <x:v>Active Directory</x:v>
      </x:c>
      <x:c r="O127" s="506" t="str">
        <x:v>Confirmed</x:v>
      </x:c>
      <x:c r="P127" s="506" t="str">
        <x:v>Validated</x:v>
      </x:c>
      <x:c r="Q127" s="506" t="str">
        <x:f>IF(OR(COUNTIF($A$2:$A$201,A127)&gt;1,COUNTIF($G$2:$G$201,G127)&gt;1,AND(F127&lt;&gt;"",COUNTIF($F$2:$F$201,F127)&gt;1),COUNTIF($H$2:$H$201,H127)&gt;1,COUNTIF($I$2:$I$201,I127)&gt;1,COUNTIF($J$2:$J$201,J127)&gt;1),"Yes","No")</x:f>
        <x:v>No</x:v>
      </x:c>
      <x:c r="R127" s="506" t="str">
        <x:f>IF(F127="","Missing",IF(AND(ISNUMBER(SEARCH("@",F127)),ISNUMBER(SEARCH(".",F127))),"Valid","Invalid"))</x:f>
        <x:v>Valid</x:v>
      </x:c>
      <x:c r="S127" s="506" t="n">
        <x:f>IF(K127="Yes",1,0)+IF(L127="Yes",1,0)+IF(M127&lt;&gt;"Clean",1,0)+IF(O127&lt;&gt;"Confirmed",1,0)+IF(P127&lt;&gt;"Validated",1,0)+IF(Q127="Yes",1,0)+IF(R127&lt;&gt;"Valid",1,0)</x:f>
        <x:v>0</x:v>
      </x:c>
      <x:c r="T127" s="517" t="n">
        <x:f>MAX(0,1-S127/7)</x:f>
        <x:v>1</x:v>
      </x:c>
      <x:c r="U127" s="506" t="str">
        <x:f>IF(AND(K127="No",L127="No",M127="Clean",O127="Confirmed",P127="Validated",Q127="No",R127="Valid"),"Ready","Hold")</x:f>
        <x:v>Ready</x:v>
      </x:c>
      <x:c r="V127" s="507" t="str">
        <x:f>IF(U127="Ready","No action",IF(K127="Yes","Resolve duplicate and confirm surviving record",IF(L127="Yes","Populate and validate email","Complete remediation and validation")))</x:f>
        <x:v>No action</x:v>
      </x:c>
    </x:row>
    <x:row r="128">
      <x:c r="A128" s="505" t="n">
        <x:v>1128</x:v>
      </x:c>
      <x:c r="B128" s="506" t="str">
        <x:v>Emp128</x:v>
      </x:c>
      <x:c r="C128" s="506" t="str">
        <x:v>User128</x:v>
      </x:c>
      <x:c r="D128" s="506" t="str">
        <x:v>UK</x:v>
      </x:c>
      <x:c r="E128" s="506" t="str">
        <x:v>HR</x:v>
      </x:c>
      <x:c r="F128" s="506" t="str">
        <x:v>emp128@company.com</x:v>
      </x:c>
      <x:c r="G128" s="506" t="str">
        <x:v>emp128</x:v>
      </x:c>
      <x:c r="H128" s="506" t="str">
        <x:v>BHR128</x:v>
      </x:c>
      <x:c r="I128" s="506" t="str">
        <x:v>MAC128</x:v>
      </x:c>
      <x:c r="J128" s="506" t="str">
        <x:v>XY128</x:v>
      </x:c>
      <x:c r="K128" s="506" t="str">
        <x:v>No</x:v>
      </x:c>
      <x:c r="L128" s="506" t="str">
        <x:v>No</x:v>
      </x:c>
      <x:c r="M128" s="506" t="str">
        <x:v>Clean</x:v>
      </x:c>
      <x:c r="N128" s="506" t="str">
        <x:v>Maconomy</x:v>
      </x:c>
      <x:c r="O128" s="506" t="str">
        <x:v>Confirmed</x:v>
      </x:c>
      <x:c r="P128" s="506" t="str">
        <x:v>Validated</x:v>
      </x:c>
      <x:c r="Q128" s="506" t="str">
        <x:f>IF(OR(COUNTIF($A$2:$A$201,A128)&gt;1,COUNTIF($G$2:$G$201,G128)&gt;1,AND(F128&lt;&gt;"",COUNTIF($F$2:$F$201,F128)&gt;1),COUNTIF($H$2:$H$201,H128)&gt;1,COUNTIF($I$2:$I$201,I128)&gt;1,COUNTIF($J$2:$J$201,J128)&gt;1),"Yes","No")</x:f>
        <x:v>No</x:v>
      </x:c>
      <x:c r="R128" s="506" t="str">
        <x:f>IF(F128="","Missing",IF(AND(ISNUMBER(SEARCH("@",F128)),ISNUMBER(SEARCH(".",F128))),"Valid","Invalid"))</x:f>
        <x:v>Valid</x:v>
      </x:c>
      <x:c r="S128" s="506" t="n">
        <x:f>IF(K128="Yes",1,0)+IF(L128="Yes",1,0)+IF(M128&lt;&gt;"Clean",1,0)+IF(O128&lt;&gt;"Confirmed",1,0)+IF(P128&lt;&gt;"Validated",1,0)+IF(Q128="Yes",1,0)+IF(R128&lt;&gt;"Valid",1,0)</x:f>
        <x:v>0</x:v>
      </x:c>
      <x:c r="T128" s="517" t="n">
        <x:f>MAX(0,1-S128/7)</x:f>
        <x:v>1</x:v>
      </x:c>
      <x:c r="U128" s="506" t="str">
        <x:f>IF(AND(K128="No",L128="No",M128="Clean",O128="Confirmed",P128="Validated",Q128="No",R128="Valid"),"Ready","Hold")</x:f>
        <x:v>Ready</x:v>
      </x:c>
      <x:c r="V128" s="507" t="str">
        <x:f>IF(U128="Ready","No action",IF(K128="Yes","Resolve duplicate and confirm surviving record",IF(L128="Yes","Populate and validate email","Complete remediation and validation")))</x:f>
        <x:v>No action</x:v>
      </x:c>
    </x:row>
    <x:row r="129">
      <x:c r="A129" s="505" t="n">
        <x:v>1129</x:v>
      </x:c>
      <x:c r="B129" s="506" t="str">
        <x:v>Emp129</x:v>
      </x:c>
      <x:c r="C129" s="506" t="str">
        <x:v>User129</x:v>
      </x:c>
      <x:c r="D129" s="506" t="str">
        <x:v>USA</x:v>
      </x:c>
      <x:c r="E129" s="506" t="str">
        <x:v>Finance</x:v>
      </x:c>
      <x:c r="F129" s="506" t="str">
        <x:v>emp129@company.com</x:v>
      </x:c>
      <x:c r="G129" s="506" t="str">
        <x:v>emp129</x:v>
      </x:c>
      <x:c r="H129" s="506" t="str">
        <x:v>BHR129</x:v>
      </x:c>
      <x:c r="I129" s="506" t="str">
        <x:v>MAC129</x:v>
      </x:c>
      <x:c r="J129" s="506" t="str">
        <x:v>XY129</x:v>
      </x:c>
      <x:c r="K129" s="506" t="str">
        <x:v>No</x:v>
      </x:c>
      <x:c r="L129" s="506" t="str">
        <x:v>No</x:v>
      </x:c>
      <x:c r="M129" s="506" t="str">
        <x:v>Clean</x:v>
      </x:c>
      <x:c r="N129" s="506" t="str">
        <x:v>Xytech</x:v>
      </x:c>
      <x:c r="O129" s="506" t="str">
        <x:v>Confirmed</x:v>
      </x:c>
      <x:c r="P129" s="506" t="str">
        <x:v>Validated</x:v>
      </x:c>
      <x:c r="Q129" s="506" t="str">
        <x:f>IF(OR(COUNTIF($A$2:$A$201,A129)&gt;1,COUNTIF($G$2:$G$201,G129)&gt;1,AND(F129&lt;&gt;"",COUNTIF($F$2:$F$201,F129)&gt;1),COUNTIF($H$2:$H$201,H129)&gt;1,COUNTIF($I$2:$I$201,I129)&gt;1,COUNTIF($J$2:$J$201,J129)&gt;1),"Yes","No")</x:f>
        <x:v>No</x:v>
      </x:c>
      <x:c r="R129" s="506" t="str">
        <x:f>IF(F129="","Missing",IF(AND(ISNUMBER(SEARCH("@",F129)),ISNUMBER(SEARCH(".",F129))),"Valid","Invalid"))</x:f>
        <x:v>Valid</x:v>
      </x:c>
      <x:c r="S129" s="506" t="n">
        <x:f>IF(K129="Yes",1,0)+IF(L129="Yes",1,0)+IF(M129&lt;&gt;"Clean",1,0)+IF(O129&lt;&gt;"Confirmed",1,0)+IF(P129&lt;&gt;"Validated",1,0)+IF(Q129="Yes",1,0)+IF(R129&lt;&gt;"Valid",1,0)</x:f>
        <x:v>0</x:v>
      </x:c>
      <x:c r="T129" s="517" t="n">
        <x:f>MAX(0,1-S129/7)</x:f>
        <x:v>1</x:v>
      </x:c>
      <x:c r="U129" s="506" t="str">
        <x:f>IF(AND(K129="No",L129="No",M129="Clean",O129="Confirmed",P129="Validated",Q129="No",R129="Valid"),"Ready","Hold")</x:f>
        <x:v>Ready</x:v>
      </x:c>
      <x:c r="V129" s="507" t="str">
        <x:f>IF(U129="Ready","No action",IF(K129="Yes","Resolve duplicate and confirm surviving record",IF(L129="Yes","Populate and validate email","Complete remediation and validation")))</x:f>
        <x:v>No action</x:v>
      </x:c>
    </x:row>
    <x:row r="130">
      <x:c r="A130" s="505" t="n">
        <x:v>1130</x:v>
      </x:c>
      <x:c r="B130" s="506" t="str">
        <x:v>Emp130</x:v>
      </x:c>
      <x:c r="C130" s="506" t="str">
        <x:v>User130</x:v>
      </x:c>
      <x:c r="D130" s="506" t="str">
        <x:v>Canada</x:v>
      </x:c>
      <x:c r="E130" s="506" t="str">
        <x:v>IT</x:v>
      </x:c>
      <x:c r="F130" s="506" t="str">
        <x:v>emp130@company.com</x:v>
      </x:c>
      <x:c r="G130" s="506" t="str">
        <x:v>emp130</x:v>
      </x:c>
      <x:c r="H130" s="506" t="str">
        <x:v>BHR130</x:v>
      </x:c>
      <x:c r="I130" s="506" t="str">
        <x:v>MAC130</x:v>
      </x:c>
      <x:c r="J130" s="506" t="str">
        <x:v>XY130</x:v>
      </x:c>
      <x:c r="K130" s="506" t="str">
        <x:v>No</x:v>
      </x:c>
      <x:c r="L130" s="506" t="str">
        <x:v>No</x:v>
      </x:c>
      <x:c r="M130" s="506" t="str">
        <x:v>Clean</x:v>
      </x:c>
      <x:c r="N130" s="506" t="str">
        <x:v>BambooHR</x:v>
      </x:c>
      <x:c r="O130" s="506" t="str">
        <x:v>Confirmed</x:v>
      </x:c>
      <x:c r="P130" s="506" t="str">
        <x:v>Validated</x:v>
      </x:c>
      <x:c r="Q130" s="506" t="str">
        <x:f>IF(OR(COUNTIF($A$2:$A$201,A130)&gt;1,COUNTIF($G$2:$G$201,G130)&gt;1,AND(F130&lt;&gt;"",COUNTIF($F$2:$F$201,F130)&gt;1),COUNTIF($H$2:$H$201,H130)&gt;1,COUNTIF($I$2:$I$201,I130)&gt;1,COUNTIF($J$2:$J$201,J130)&gt;1),"Yes","No")</x:f>
        <x:v>No</x:v>
      </x:c>
      <x:c r="R130" s="506" t="str">
        <x:f>IF(F130="","Missing",IF(AND(ISNUMBER(SEARCH("@",F130)),ISNUMBER(SEARCH(".",F130))),"Valid","Invalid"))</x:f>
        <x:v>Valid</x:v>
      </x:c>
      <x:c r="S130" s="506" t="n">
        <x:f>IF(K130="Yes",1,0)+IF(L130="Yes",1,0)+IF(M130&lt;&gt;"Clean",1,0)+IF(O130&lt;&gt;"Confirmed",1,0)+IF(P130&lt;&gt;"Validated",1,0)+IF(Q130="Yes",1,0)+IF(R130&lt;&gt;"Valid",1,0)</x:f>
        <x:v>0</x:v>
      </x:c>
      <x:c r="T130" s="517" t="n">
        <x:f>MAX(0,1-S130/7)</x:f>
        <x:v>1</x:v>
      </x:c>
      <x:c r="U130" s="506" t="str">
        <x:f>IF(AND(K130="No",L130="No",M130="Clean",O130="Confirmed",P130="Validated",Q130="No",R130="Valid"),"Ready","Hold")</x:f>
        <x:v>Ready</x:v>
      </x:c>
      <x:c r="V130" s="507" t="str">
        <x:f>IF(U130="Ready","No action",IF(K130="Yes","Resolve duplicate and confirm surviving record",IF(L130="Yes","Populate and validate email","Complete remediation and validation")))</x:f>
        <x:v>No action</x:v>
      </x:c>
    </x:row>
    <x:row r="131">
      <x:c r="A131" s="505" t="n">
        <x:v>1131</x:v>
      </x:c>
      <x:c r="B131" s="506" t="str">
        <x:v>Emp131</x:v>
      </x:c>
      <x:c r="C131" s="506" t="str">
        <x:v>User131</x:v>
      </x:c>
      <x:c r="D131" s="506" t="str">
        <x:v>Germany</x:v>
      </x:c>
      <x:c r="E131" s="506" t="str">
        <x:v>Operations</x:v>
      </x:c>
      <x:c r="F131" s="506" t="str">
        <x:v>emp131@company.com</x:v>
      </x:c>
      <x:c r="G131" s="506" t="str">
        <x:v>emp131</x:v>
      </x:c>
      <x:c r="H131" s="506" t="str">
        <x:v>BHR131</x:v>
      </x:c>
      <x:c r="I131" s="506" t="str">
        <x:v>MAC131</x:v>
      </x:c>
      <x:c r="J131" s="506" t="str">
        <x:v>XY131</x:v>
      </x:c>
      <x:c r="K131" s="506" t="str">
        <x:v>No</x:v>
      </x:c>
      <x:c r="L131" s="506" t="str">
        <x:v>No</x:v>
      </x:c>
      <x:c r="M131" s="506" t="str">
        <x:v>Clean</x:v>
      </x:c>
      <x:c r="N131" s="506" t="str">
        <x:v>Active Directory</x:v>
      </x:c>
      <x:c r="O131" s="506" t="str">
        <x:v>Confirmed</x:v>
      </x:c>
      <x:c r="P131" s="506" t="str">
        <x:v>Validated</x:v>
      </x:c>
      <x:c r="Q131" s="506" t="str">
        <x:f>IF(OR(COUNTIF($A$2:$A$201,A131)&gt;1,COUNTIF($G$2:$G$201,G131)&gt;1,AND(F131&lt;&gt;"",COUNTIF($F$2:$F$201,F131)&gt;1),COUNTIF($H$2:$H$201,H131)&gt;1,COUNTIF($I$2:$I$201,I131)&gt;1,COUNTIF($J$2:$J$201,J131)&gt;1),"Yes","No")</x:f>
        <x:v>No</x:v>
      </x:c>
      <x:c r="R131" s="506" t="str">
        <x:f>IF(F131="","Missing",IF(AND(ISNUMBER(SEARCH("@",F131)),ISNUMBER(SEARCH(".",F131))),"Valid","Invalid"))</x:f>
        <x:v>Valid</x:v>
      </x:c>
      <x:c r="S131" s="506" t="n">
        <x:f>IF(K131="Yes",1,0)+IF(L131="Yes",1,0)+IF(M131&lt;&gt;"Clean",1,0)+IF(O131&lt;&gt;"Confirmed",1,0)+IF(P131&lt;&gt;"Validated",1,0)+IF(Q131="Yes",1,0)+IF(R131&lt;&gt;"Valid",1,0)</x:f>
        <x:v>0</x:v>
      </x:c>
      <x:c r="T131" s="517" t="n">
        <x:f>MAX(0,1-S131/7)</x:f>
        <x:v>1</x:v>
      </x:c>
      <x:c r="U131" s="506" t="str">
        <x:f>IF(AND(K131="No",L131="No",M131="Clean",O131="Confirmed",P131="Validated",Q131="No",R131="Valid"),"Ready","Hold")</x:f>
        <x:v>Ready</x:v>
      </x:c>
      <x:c r="V131" s="507" t="str">
        <x:f>IF(U131="Ready","No action",IF(K131="Yes","Resolve duplicate and confirm surviving record",IF(L131="Yes","Populate and validate email","Complete remediation and validation")))</x:f>
        <x:v>No action</x:v>
      </x:c>
    </x:row>
    <x:row r="132">
      <x:c r="A132" s="505" t="n">
        <x:v>1132</x:v>
      </x:c>
      <x:c r="B132" s="506" t="str">
        <x:v>Emp132</x:v>
      </x:c>
      <x:c r="C132" s="506" t="str">
        <x:v>User132</x:v>
      </x:c>
      <x:c r="D132" s="506" t="str">
        <x:v>India</x:v>
      </x:c>
      <x:c r="E132" s="506" t="str">
        <x:v>Sales</x:v>
      </x:c>
      <x:c r="F132" s="506" t="str">
        <x:v>emp132@company.com</x:v>
      </x:c>
      <x:c r="G132" s="506" t="str">
        <x:v>emp132</x:v>
      </x:c>
      <x:c r="H132" s="506" t="str">
        <x:v>BHR132</x:v>
      </x:c>
      <x:c r="I132" s="506" t="str">
        <x:v>MAC132</x:v>
      </x:c>
      <x:c r="J132" s="506" t="str">
        <x:v>XY132</x:v>
      </x:c>
      <x:c r="K132" s="506" t="str">
        <x:v>No</x:v>
      </x:c>
      <x:c r="L132" s="506" t="str">
        <x:v>No</x:v>
      </x:c>
      <x:c r="M132" s="506" t="str">
        <x:v>Clean</x:v>
      </x:c>
      <x:c r="N132" s="506" t="str">
        <x:v>Maconomy</x:v>
      </x:c>
      <x:c r="O132" s="506" t="str">
        <x:v>Confirmed</x:v>
      </x:c>
      <x:c r="P132" s="506" t="str">
        <x:v>Validated</x:v>
      </x:c>
      <x:c r="Q132" s="506" t="str">
        <x:f>IF(OR(COUNTIF($A$2:$A$201,A132)&gt;1,COUNTIF($G$2:$G$201,G132)&gt;1,AND(F132&lt;&gt;"",COUNTIF($F$2:$F$201,F132)&gt;1),COUNTIF($H$2:$H$201,H132)&gt;1,COUNTIF($I$2:$I$201,I132)&gt;1,COUNTIF($J$2:$J$201,J132)&gt;1),"Yes","No")</x:f>
        <x:v>No</x:v>
      </x:c>
      <x:c r="R132" s="506" t="str">
        <x:f>IF(F132="","Missing",IF(AND(ISNUMBER(SEARCH("@",F132)),ISNUMBER(SEARCH(".",F132))),"Valid","Invalid"))</x:f>
        <x:v>Valid</x:v>
      </x:c>
      <x:c r="S132" s="506" t="n">
        <x:f>IF(K132="Yes",1,0)+IF(L132="Yes",1,0)+IF(M132&lt;&gt;"Clean",1,0)+IF(O132&lt;&gt;"Confirmed",1,0)+IF(P132&lt;&gt;"Validated",1,0)+IF(Q132="Yes",1,0)+IF(R132&lt;&gt;"Valid",1,0)</x:f>
        <x:v>0</x:v>
      </x:c>
      <x:c r="T132" s="517" t="n">
        <x:f>MAX(0,1-S132/7)</x:f>
        <x:v>1</x:v>
      </x:c>
      <x:c r="U132" s="506" t="str">
        <x:f>IF(AND(K132="No",L132="No",M132="Clean",O132="Confirmed",P132="Validated",Q132="No",R132="Valid"),"Ready","Hold")</x:f>
        <x:v>Ready</x:v>
      </x:c>
      <x:c r="V132" s="507" t="str">
        <x:f>IF(U132="Ready","No action",IF(K132="Yes","Resolve duplicate and confirm surviving record",IF(L132="Yes","Populate and validate email","Complete remediation and validation")))</x:f>
        <x:v>No action</x:v>
      </x:c>
    </x:row>
    <x:row r="133">
      <x:c r="A133" s="505" t="n">
        <x:v>1133</x:v>
      </x:c>
      <x:c r="B133" s="506" t="str">
        <x:v>Emp133</x:v>
      </x:c>
      <x:c r="C133" s="506" t="str">
        <x:v>User133</x:v>
      </x:c>
      <x:c r="D133" s="506" t="str">
        <x:v>Australia</x:v>
      </x:c>
      <x:c r="E133" s="506" t="str">
        <x:v>Marketing</x:v>
      </x:c>
      <x:c r="F133" s="506" t="str">
        <x:v>emp133@company.com</x:v>
      </x:c>
      <x:c r="G133" s="506" t="str">
        <x:v>emp133</x:v>
      </x:c>
      <x:c r="H133" s="506" t="str">
        <x:v>BHR133</x:v>
      </x:c>
      <x:c r="I133" s="506" t="str">
        <x:v>MAC133</x:v>
      </x:c>
      <x:c r="J133" s="506" t="str">
        <x:v>XY133</x:v>
      </x:c>
      <x:c r="K133" s="506" t="str">
        <x:v>No</x:v>
      </x:c>
      <x:c r="L133" s="506" t="str">
        <x:v>No</x:v>
      </x:c>
      <x:c r="M133" s="506" t="str">
        <x:v>Clean</x:v>
      </x:c>
      <x:c r="N133" s="506" t="str">
        <x:v>Xytech</x:v>
      </x:c>
      <x:c r="O133" s="506" t="str">
        <x:v>Confirmed</x:v>
      </x:c>
      <x:c r="P133" s="506" t="str">
        <x:v>Validated</x:v>
      </x:c>
      <x:c r="Q133" s="506" t="str">
        <x:f>IF(OR(COUNTIF($A$2:$A$201,A133)&gt;1,COUNTIF($G$2:$G$201,G133)&gt;1,AND(F133&lt;&gt;"",COUNTIF($F$2:$F$201,F133)&gt;1),COUNTIF($H$2:$H$201,H133)&gt;1,COUNTIF($I$2:$I$201,I133)&gt;1,COUNTIF($J$2:$J$201,J133)&gt;1),"Yes","No")</x:f>
        <x:v>No</x:v>
      </x:c>
      <x:c r="R133" s="506" t="str">
        <x:f>IF(F133="","Missing",IF(AND(ISNUMBER(SEARCH("@",F133)),ISNUMBER(SEARCH(".",F133))),"Valid","Invalid"))</x:f>
        <x:v>Valid</x:v>
      </x:c>
      <x:c r="S133" s="506" t="n">
        <x:f>IF(K133="Yes",1,0)+IF(L133="Yes",1,0)+IF(M133&lt;&gt;"Clean",1,0)+IF(O133&lt;&gt;"Confirmed",1,0)+IF(P133&lt;&gt;"Validated",1,0)+IF(Q133="Yes",1,0)+IF(R133&lt;&gt;"Valid",1,0)</x:f>
        <x:v>0</x:v>
      </x:c>
      <x:c r="T133" s="517" t="n">
        <x:f>MAX(0,1-S133/7)</x:f>
        <x:v>1</x:v>
      </x:c>
      <x:c r="U133" s="506" t="str">
        <x:f>IF(AND(K133="No",L133="No",M133="Clean",O133="Confirmed",P133="Validated",Q133="No",R133="Valid"),"Ready","Hold")</x:f>
        <x:v>Ready</x:v>
      </x:c>
      <x:c r="V133" s="507" t="str">
        <x:f>IF(U133="Ready","No action",IF(K133="Yes","Resolve duplicate and confirm surviving record",IF(L133="Yes","Populate and validate email","Complete remediation and validation")))</x:f>
        <x:v>No action</x:v>
      </x:c>
    </x:row>
    <x:row r="134">
      <x:c r="A134" s="505" t="n">
        <x:v>1134</x:v>
      </x:c>
      <x:c r="B134" s="506" t="str">
        <x:v>Emp134</x:v>
      </x:c>
      <x:c r="C134" s="506" t="str">
        <x:v>User134</x:v>
      </x:c>
      <x:c r="D134" s="506" t="str">
        <x:v>UAE</x:v>
      </x:c>
      <x:c r="E134" s="506" t="str">
        <x:v>HR</x:v>
      </x:c>
      <x:c r="F134" s="506" t="str">
        <x:v>emp134@company.com</x:v>
      </x:c>
      <x:c r="G134" s="506" t="str">
        <x:v>emp134</x:v>
      </x:c>
      <x:c r="H134" s="506" t="str">
        <x:v>BHR134</x:v>
      </x:c>
      <x:c r="I134" s="506" t="str">
        <x:v>MAC134</x:v>
      </x:c>
      <x:c r="J134" s="506" t="str">
        <x:v>XY134</x:v>
      </x:c>
      <x:c r="K134" s="506" t="str">
        <x:v>No</x:v>
      </x:c>
      <x:c r="L134" s="506" t="str">
        <x:v>No</x:v>
      </x:c>
      <x:c r="M134" s="506" t="str">
        <x:v>Clean</x:v>
      </x:c>
      <x:c r="N134" s="506" t="str">
        <x:v>BambooHR</x:v>
      </x:c>
      <x:c r="O134" s="506" t="str">
        <x:v>Confirmed</x:v>
      </x:c>
      <x:c r="P134" s="506" t="str">
        <x:v>Validated</x:v>
      </x:c>
      <x:c r="Q134" s="506" t="str">
        <x:f>IF(OR(COUNTIF($A$2:$A$201,A134)&gt;1,COUNTIF($G$2:$G$201,G134)&gt;1,AND(F134&lt;&gt;"",COUNTIF($F$2:$F$201,F134)&gt;1),COUNTIF($H$2:$H$201,H134)&gt;1,COUNTIF($I$2:$I$201,I134)&gt;1,COUNTIF($J$2:$J$201,J134)&gt;1),"Yes","No")</x:f>
        <x:v>No</x:v>
      </x:c>
      <x:c r="R134" s="506" t="str">
        <x:f>IF(F134="","Missing",IF(AND(ISNUMBER(SEARCH("@",F134)),ISNUMBER(SEARCH(".",F134))),"Valid","Invalid"))</x:f>
        <x:v>Valid</x:v>
      </x:c>
      <x:c r="S134" s="506" t="n">
        <x:f>IF(K134="Yes",1,0)+IF(L134="Yes",1,0)+IF(M134&lt;&gt;"Clean",1,0)+IF(O134&lt;&gt;"Confirmed",1,0)+IF(P134&lt;&gt;"Validated",1,0)+IF(Q134="Yes",1,0)+IF(R134&lt;&gt;"Valid",1,0)</x:f>
        <x:v>0</x:v>
      </x:c>
      <x:c r="T134" s="517" t="n">
        <x:f>MAX(0,1-S134/7)</x:f>
        <x:v>1</x:v>
      </x:c>
      <x:c r="U134" s="506" t="str">
        <x:f>IF(AND(K134="No",L134="No",M134="Clean",O134="Confirmed",P134="Validated",Q134="No",R134="Valid"),"Ready","Hold")</x:f>
        <x:v>Ready</x:v>
      </x:c>
      <x:c r="V134" s="507" t="str">
        <x:f>IF(U134="Ready","No action",IF(K134="Yes","Resolve duplicate and confirm surviving record",IF(L134="Yes","Populate and validate email","Complete remediation and validation")))</x:f>
        <x:v>No action</x:v>
      </x:c>
    </x:row>
    <x:row r="135">
      <x:c r="A135" s="505" t="n">
        <x:v>1135</x:v>
      </x:c>
      <x:c r="B135" s="506" t="str">
        <x:v>Emp135</x:v>
      </x:c>
      <x:c r="C135" s="506" t="str">
        <x:v>User135</x:v>
      </x:c>
      <x:c r="D135" s="506" t="str">
        <x:v>France</x:v>
      </x:c>
      <x:c r="E135" s="506" t="str">
        <x:v>Finance</x:v>
      </x:c>
      <x:c r="F135" s="506" t="str">
        <x:v>emp135@company.com</x:v>
      </x:c>
      <x:c r="G135" s="506" t="str">
        <x:v>emp135</x:v>
      </x:c>
      <x:c r="H135" s="506" t="str">
        <x:v>BHR135</x:v>
      </x:c>
      <x:c r="I135" s="506" t="str">
        <x:v>MAC135</x:v>
      </x:c>
      <x:c r="J135" s="506" t="str">
        <x:v>XY135</x:v>
      </x:c>
      <x:c r="K135" s="506" t="str">
        <x:v>No</x:v>
      </x:c>
      <x:c r="L135" s="506" t="str">
        <x:v>No</x:v>
      </x:c>
      <x:c r="M135" s="506" t="str">
        <x:v>Clean</x:v>
      </x:c>
      <x:c r="N135" s="506" t="str">
        <x:v>Active Directory</x:v>
      </x:c>
      <x:c r="O135" s="506" t="str">
        <x:v>Confirmed</x:v>
      </x:c>
      <x:c r="P135" s="506" t="str">
        <x:v>Validated</x:v>
      </x:c>
      <x:c r="Q135" s="506" t="str">
        <x:f>IF(OR(COUNTIF($A$2:$A$201,A135)&gt;1,COUNTIF($G$2:$G$201,G135)&gt;1,AND(F135&lt;&gt;"",COUNTIF($F$2:$F$201,F135)&gt;1),COUNTIF($H$2:$H$201,H135)&gt;1,COUNTIF($I$2:$I$201,I135)&gt;1,COUNTIF($J$2:$J$201,J135)&gt;1),"Yes","No")</x:f>
        <x:v>No</x:v>
      </x:c>
      <x:c r="R135" s="506" t="str">
        <x:f>IF(F135="","Missing",IF(AND(ISNUMBER(SEARCH("@",F135)),ISNUMBER(SEARCH(".",F135))),"Valid","Invalid"))</x:f>
        <x:v>Valid</x:v>
      </x:c>
      <x:c r="S135" s="506" t="n">
        <x:f>IF(K135="Yes",1,0)+IF(L135="Yes",1,0)+IF(M135&lt;&gt;"Clean",1,0)+IF(O135&lt;&gt;"Confirmed",1,0)+IF(P135&lt;&gt;"Validated",1,0)+IF(Q135="Yes",1,0)+IF(R135&lt;&gt;"Valid",1,0)</x:f>
        <x:v>0</x:v>
      </x:c>
      <x:c r="T135" s="517" t="n">
        <x:f>MAX(0,1-S135/7)</x:f>
        <x:v>1</x:v>
      </x:c>
      <x:c r="U135" s="506" t="str">
        <x:f>IF(AND(K135="No",L135="No",M135="Clean",O135="Confirmed",P135="Validated",Q135="No",R135="Valid"),"Ready","Hold")</x:f>
        <x:v>Ready</x:v>
      </x:c>
      <x:c r="V135" s="507" t="str">
        <x:f>IF(U135="Ready","No action",IF(K135="Yes","Resolve duplicate and confirm surviving record",IF(L135="Yes","Populate and validate email","Complete remediation and validation")))</x:f>
        <x:v>No action</x:v>
      </x:c>
    </x:row>
    <x:row r="136">
      <x:c r="A136" s="505" t="n">
        <x:v>1136</x:v>
      </x:c>
      <x:c r="B136" s="506" t="str">
        <x:v>Emp136</x:v>
      </x:c>
      <x:c r="C136" s="506" t="str">
        <x:v>User136</x:v>
      </x:c>
      <x:c r="D136" s="506" t="str">
        <x:v>Nigeria</x:v>
      </x:c>
      <x:c r="E136" s="506" t="str">
        <x:v>IT</x:v>
      </x:c>
      <x:c r="F136" s="506" t="str">
        <x:v>emp136@company.com</x:v>
      </x:c>
      <x:c r="G136" s="506" t="str">
        <x:v>emp136</x:v>
      </x:c>
      <x:c r="H136" s="506" t="str">
        <x:v>BHR136</x:v>
      </x:c>
      <x:c r="I136" s="506" t="str">
        <x:v>MAC136</x:v>
      </x:c>
      <x:c r="J136" s="506" t="str">
        <x:v>XY136</x:v>
      </x:c>
      <x:c r="K136" s="506" t="str">
        <x:v>No</x:v>
      </x:c>
      <x:c r="L136" s="506" t="str">
        <x:v>No</x:v>
      </x:c>
      <x:c r="M136" s="506" t="str">
        <x:v>Clean</x:v>
      </x:c>
      <x:c r="N136" s="506" t="str">
        <x:v>Maconomy</x:v>
      </x:c>
      <x:c r="O136" s="506" t="str">
        <x:v>Confirmed</x:v>
      </x:c>
      <x:c r="P136" s="506" t="str">
        <x:v>Validated</x:v>
      </x:c>
      <x:c r="Q136" s="506" t="str">
        <x:f>IF(OR(COUNTIF($A$2:$A$201,A136)&gt;1,COUNTIF($G$2:$G$201,G136)&gt;1,AND(F136&lt;&gt;"",COUNTIF($F$2:$F$201,F136)&gt;1),COUNTIF($H$2:$H$201,H136)&gt;1,COUNTIF($I$2:$I$201,I136)&gt;1,COUNTIF($J$2:$J$201,J136)&gt;1),"Yes","No")</x:f>
        <x:v>No</x:v>
      </x:c>
      <x:c r="R136" s="506" t="str">
        <x:f>IF(F136="","Missing",IF(AND(ISNUMBER(SEARCH("@",F136)),ISNUMBER(SEARCH(".",F136))),"Valid","Invalid"))</x:f>
        <x:v>Valid</x:v>
      </x:c>
      <x:c r="S136" s="506" t="n">
        <x:f>IF(K136="Yes",1,0)+IF(L136="Yes",1,0)+IF(M136&lt;&gt;"Clean",1,0)+IF(O136&lt;&gt;"Confirmed",1,0)+IF(P136&lt;&gt;"Validated",1,0)+IF(Q136="Yes",1,0)+IF(R136&lt;&gt;"Valid",1,0)</x:f>
        <x:v>0</x:v>
      </x:c>
      <x:c r="T136" s="517" t="n">
        <x:f>MAX(0,1-S136/7)</x:f>
        <x:v>1</x:v>
      </x:c>
      <x:c r="U136" s="506" t="str">
        <x:f>IF(AND(K136="No",L136="No",M136="Clean",O136="Confirmed",P136="Validated",Q136="No",R136="Valid"),"Ready","Hold")</x:f>
        <x:v>Ready</x:v>
      </x:c>
      <x:c r="V136" s="507" t="str">
        <x:f>IF(U136="Ready","No action",IF(K136="Yes","Resolve duplicate and confirm surviving record",IF(L136="Yes","Populate and validate email","Complete remediation and validation")))</x:f>
        <x:v>No action</x:v>
      </x:c>
    </x:row>
    <x:row r="137">
      <x:c r="A137" s="505" t="n">
        <x:v>1137</x:v>
      </x:c>
      <x:c r="B137" s="506" t="str">
        <x:v>Emp137</x:v>
      </x:c>
      <x:c r="C137" s="506" t="str">
        <x:v>User137</x:v>
      </x:c>
      <x:c r="D137" s="506" t="str">
        <x:v>Gambia</x:v>
      </x:c>
      <x:c r="E137" s="506" t="str">
        <x:v>Operations</x:v>
      </x:c>
      <x:c r="F137" s="506" t="str">
        <x:v>emp137@company.com</x:v>
      </x:c>
      <x:c r="G137" s="506" t="str">
        <x:v>emp137</x:v>
      </x:c>
      <x:c r="H137" s="506" t="str">
        <x:v>BHR137</x:v>
      </x:c>
      <x:c r="I137" s="506" t="str">
        <x:v>MAC137</x:v>
      </x:c>
      <x:c r="J137" s="506" t="str">
        <x:v>XY137</x:v>
      </x:c>
      <x:c r="K137" s="506" t="str">
        <x:v>No</x:v>
      </x:c>
      <x:c r="L137" s="506" t="str">
        <x:v>No</x:v>
      </x:c>
      <x:c r="M137" s="506" t="str">
        <x:v>Clean</x:v>
      </x:c>
      <x:c r="N137" s="506" t="str">
        <x:v>Xytech</x:v>
      </x:c>
      <x:c r="O137" s="506" t="str">
        <x:v>Confirmed</x:v>
      </x:c>
      <x:c r="P137" s="506" t="str">
        <x:v>Validated</x:v>
      </x:c>
      <x:c r="Q137" s="506" t="str">
        <x:f>IF(OR(COUNTIF($A$2:$A$201,A137)&gt;1,COUNTIF($G$2:$G$201,G137)&gt;1,AND(F137&lt;&gt;"",COUNTIF($F$2:$F$201,F137)&gt;1),COUNTIF($H$2:$H$201,H137)&gt;1,COUNTIF($I$2:$I$201,I137)&gt;1,COUNTIF($J$2:$J$201,J137)&gt;1),"Yes","No")</x:f>
        <x:v>No</x:v>
      </x:c>
      <x:c r="R137" s="506" t="str">
        <x:f>IF(F137="","Missing",IF(AND(ISNUMBER(SEARCH("@",F137)),ISNUMBER(SEARCH(".",F137))),"Valid","Invalid"))</x:f>
        <x:v>Valid</x:v>
      </x:c>
      <x:c r="S137" s="506" t="n">
        <x:f>IF(K137="Yes",1,0)+IF(L137="Yes",1,0)+IF(M137&lt;&gt;"Clean",1,0)+IF(O137&lt;&gt;"Confirmed",1,0)+IF(P137&lt;&gt;"Validated",1,0)+IF(Q137="Yes",1,0)+IF(R137&lt;&gt;"Valid",1,0)</x:f>
        <x:v>0</x:v>
      </x:c>
      <x:c r="T137" s="517" t="n">
        <x:f>MAX(0,1-S137/7)</x:f>
        <x:v>1</x:v>
      </x:c>
      <x:c r="U137" s="506" t="str">
        <x:f>IF(AND(K137="No",L137="No",M137="Clean",O137="Confirmed",P137="Validated",Q137="No",R137="Valid"),"Ready","Hold")</x:f>
        <x:v>Ready</x:v>
      </x:c>
      <x:c r="V137" s="507" t="str">
        <x:f>IF(U137="Ready","No action",IF(K137="Yes","Resolve duplicate and confirm surviving record",IF(L137="Yes","Populate and validate email","Complete remediation and validation")))</x:f>
        <x:v>No action</x:v>
      </x:c>
    </x:row>
    <x:row r="138">
      <x:c r="A138" s="505" t="n">
        <x:v>1138</x:v>
      </x:c>
      <x:c r="B138" s="506" t="str">
        <x:v>Emp138</x:v>
      </x:c>
      <x:c r="C138" s="506" t="str">
        <x:v>User138</x:v>
      </x:c>
      <x:c r="D138" s="506" t="str">
        <x:v>Spain</x:v>
      </x:c>
      <x:c r="E138" s="506" t="str">
        <x:v>Sales</x:v>
      </x:c>
      <x:c r="F138" s="506" t="str">
        <x:v>emp138@company.com</x:v>
      </x:c>
      <x:c r="G138" s="506" t="str">
        <x:v>emp138</x:v>
      </x:c>
      <x:c r="H138" s="506" t="str">
        <x:v>BHR138</x:v>
      </x:c>
      <x:c r="I138" s="506" t="str">
        <x:v>MAC138</x:v>
      </x:c>
      <x:c r="J138" s="506" t="str">
        <x:v>XY138</x:v>
      </x:c>
      <x:c r="K138" s="506" t="str">
        <x:v>No</x:v>
      </x:c>
      <x:c r="L138" s="506" t="str">
        <x:v>No</x:v>
      </x:c>
      <x:c r="M138" s="506" t="str">
        <x:v>Clean</x:v>
      </x:c>
      <x:c r="N138" s="506" t="str">
        <x:v>BambooHR</x:v>
      </x:c>
      <x:c r="O138" s="506" t="str">
        <x:v>Confirmed</x:v>
      </x:c>
      <x:c r="P138" s="506" t="str">
        <x:v>Validated</x:v>
      </x:c>
      <x:c r="Q138" s="506" t="str">
        <x:f>IF(OR(COUNTIF($A$2:$A$201,A138)&gt;1,COUNTIF($G$2:$G$201,G138)&gt;1,AND(F138&lt;&gt;"",COUNTIF($F$2:$F$201,F138)&gt;1),COUNTIF($H$2:$H$201,H138)&gt;1,COUNTIF($I$2:$I$201,I138)&gt;1,COUNTIF($J$2:$J$201,J138)&gt;1),"Yes","No")</x:f>
        <x:v>No</x:v>
      </x:c>
      <x:c r="R138" s="506" t="str">
        <x:f>IF(F138="","Missing",IF(AND(ISNUMBER(SEARCH("@",F138)),ISNUMBER(SEARCH(".",F138))),"Valid","Invalid"))</x:f>
        <x:v>Valid</x:v>
      </x:c>
      <x:c r="S138" s="506" t="n">
        <x:f>IF(K138="Yes",1,0)+IF(L138="Yes",1,0)+IF(M138&lt;&gt;"Clean",1,0)+IF(O138&lt;&gt;"Confirmed",1,0)+IF(P138&lt;&gt;"Validated",1,0)+IF(Q138="Yes",1,0)+IF(R138&lt;&gt;"Valid",1,0)</x:f>
        <x:v>0</x:v>
      </x:c>
      <x:c r="T138" s="517" t="n">
        <x:f>MAX(0,1-S138/7)</x:f>
        <x:v>1</x:v>
      </x:c>
      <x:c r="U138" s="506" t="str">
        <x:f>IF(AND(K138="No",L138="No",M138="Clean",O138="Confirmed",P138="Validated",Q138="No",R138="Valid"),"Ready","Hold")</x:f>
        <x:v>Ready</x:v>
      </x:c>
      <x:c r="V138" s="507" t="str">
        <x:f>IF(U138="Ready","No action",IF(K138="Yes","Resolve duplicate and confirm surviving record",IF(L138="Yes","Populate and validate email","Complete remediation and validation")))</x:f>
        <x:v>No action</x:v>
      </x:c>
    </x:row>
    <x:row r="139">
      <x:c r="A139" s="505" t="n">
        <x:v>1139</x:v>
      </x:c>
      <x:c r="B139" s="506" t="str">
        <x:v>Emp139</x:v>
      </x:c>
      <x:c r="C139" s="506" t="str">
        <x:v>User139</x:v>
      </x:c>
      <x:c r="D139" s="506" t="str">
        <x:v>Netherlands</x:v>
      </x:c>
      <x:c r="E139" s="506" t="str">
        <x:v>Marketing</x:v>
      </x:c>
      <x:c r="F139" s="506" t="str">
        <x:v>emp139@company.com</x:v>
      </x:c>
      <x:c r="G139" s="506" t="str">
        <x:v>emp139</x:v>
      </x:c>
      <x:c r="H139" s="506" t="str">
        <x:v>BHR139</x:v>
      </x:c>
      <x:c r="I139" s="506" t="str">
        <x:v>MAC139</x:v>
      </x:c>
      <x:c r="J139" s="506" t="str">
        <x:v>XY139</x:v>
      </x:c>
      <x:c r="K139" s="506" t="str">
        <x:v>No</x:v>
      </x:c>
      <x:c r="L139" s="506" t="str">
        <x:v>No</x:v>
      </x:c>
      <x:c r="M139" s="506" t="str">
        <x:v>Clean</x:v>
      </x:c>
      <x:c r="N139" s="506" t="str">
        <x:v>Active Directory</x:v>
      </x:c>
      <x:c r="O139" s="506" t="str">
        <x:v>Confirmed</x:v>
      </x:c>
      <x:c r="P139" s="506" t="str">
        <x:v>Validated</x:v>
      </x:c>
      <x:c r="Q139" s="506" t="str">
        <x:f>IF(OR(COUNTIF($A$2:$A$201,A139)&gt;1,COUNTIF($G$2:$G$201,G139)&gt;1,AND(F139&lt;&gt;"",COUNTIF($F$2:$F$201,F139)&gt;1),COUNTIF($H$2:$H$201,H139)&gt;1,COUNTIF($I$2:$I$201,I139)&gt;1,COUNTIF($J$2:$J$201,J139)&gt;1),"Yes","No")</x:f>
        <x:v>No</x:v>
      </x:c>
      <x:c r="R139" s="506" t="str">
        <x:f>IF(F139="","Missing",IF(AND(ISNUMBER(SEARCH("@",F139)),ISNUMBER(SEARCH(".",F139))),"Valid","Invalid"))</x:f>
        <x:v>Valid</x:v>
      </x:c>
      <x:c r="S139" s="506" t="n">
        <x:f>IF(K139="Yes",1,0)+IF(L139="Yes",1,0)+IF(M139&lt;&gt;"Clean",1,0)+IF(O139&lt;&gt;"Confirmed",1,0)+IF(P139&lt;&gt;"Validated",1,0)+IF(Q139="Yes",1,0)+IF(R139&lt;&gt;"Valid",1,0)</x:f>
        <x:v>0</x:v>
      </x:c>
      <x:c r="T139" s="517" t="n">
        <x:f>MAX(0,1-S139/7)</x:f>
        <x:v>1</x:v>
      </x:c>
      <x:c r="U139" s="506" t="str">
        <x:f>IF(AND(K139="No",L139="No",M139="Clean",O139="Confirmed",P139="Validated",Q139="No",R139="Valid"),"Ready","Hold")</x:f>
        <x:v>Ready</x:v>
      </x:c>
      <x:c r="V139" s="507" t="str">
        <x:f>IF(U139="Ready","No action",IF(K139="Yes","Resolve duplicate and confirm surviving record",IF(L139="Yes","Populate and validate email","Complete remediation and validation")))</x:f>
        <x:v>No action</x:v>
      </x:c>
    </x:row>
    <x:row r="140">
      <x:c r="A140" s="505" t="n">
        <x:v>1140</x:v>
      </x:c>
      <x:c r="B140" s="506" t="str">
        <x:v>Emp140</x:v>
      </x:c>
      <x:c r="C140" s="506" t="str">
        <x:v>User140</x:v>
      </x:c>
      <x:c r="D140" s="506" t="str">
        <x:v>Singapore</x:v>
      </x:c>
      <x:c r="E140" s="506" t="str">
        <x:v>HR</x:v>
      </x:c>
      <x:c r="F140" s="506" t="str">
        <x:v>emp140@company.com</x:v>
      </x:c>
      <x:c r="G140" s="506" t="str">
        <x:v>emp140</x:v>
      </x:c>
      <x:c r="H140" s="506" t="str">
        <x:v>BHR140</x:v>
      </x:c>
      <x:c r="I140" s="506" t="str">
        <x:v>MAC140</x:v>
      </x:c>
      <x:c r="J140" s="506" t="str">
        <x:v>XY140</x:v>
      </x:c>
      <x:c r="K140" s="506" t="str">
        <x:v>No</x:v>
      </x:c>
      <x:c r="L140" s="506" t="str">
        <x:v>No</x:v>
      </x:c>
      <x:c r="M140" s="506" t="str">
        <x:v>Clean</x:v>
      </x:c>
      <x:c r="N140" s="506" t="str">
        <x:v>Maconomy</x:v>
      </x:c>
      <x:c r="O140" s="506" t="str">
        <x:v>Confirmed</x:v>
      </x:c>
      <x:c r="P140" s="506" t="str">
        <x:v>Validated</x:v>
      </x:c>
      <x:c r="Q140" s="506" t="str">
        <x:f>IF(OR(COUNTIF($A$2:$A$201,A140)&gt;1,COUNTIF($G$2:$G$201,G140)&gt;1,AND(F140&lt;&gt;"",COUNTIF($F$2:$F$201,F140)&gt;1),COUNTIF($H$2:$H$201,H140)&gt;1,COUNTIF($I$2:$I$201,I140)&gt;1,COUNTIF($J$2:$J$201,J140)&gt;1),"Yes","No")</x:f>
        <x:v>No</x:v>
      </x:c>
      <x:c r="R140" s="506" t="str">
        <x:f>IF(F140="","Missing",IF(AND(ISNUMBER(SEARCH("@",F140)),ISNUMBER(SEARCH(".",F140))),"Valid","Invalid"))</x:f>
        <x:v>Valid</x:v>
      </x:c>
      <x:c r="S140" s="506" t="n">
        <x:f>IF(K140="Yes",1,0)+IF(L140="Yes",1,0)+IF(M140&lt;&gt;"Clean",1,0)+IF(O140&lt;&gt;"Confirmed",1,0)+IF(P140&lt;&gt;"Validated",1,0)+IF(Q140="Yes",1,0)+IF(R140&lt;&gt;"Valid",1,0)</x:f>
        <x:v>0</x:v>
      </x:c>
      <x:c r="T140" s="517" t="n">
        <x:f>MAX(0,1-S140/7)</x:f>
        <x:v>1</x:v>
      </x:c>
      <x:c r="U140" s="506" t="str">
        <x:f>IF(AND(K140="No",L140="No",M140="Clean",O140="Confirmed",P140="Validated",Q140="No",R140="Valid"),"Ready","Hold")</x:f>
        <x:v>Ready</x:v>
      </x:c>
      <x:c r="V140" s="507" t="str">
        <x:f>IF(U140="Ready","No action",IF(K140="Yes","Resolve duplicate and confirm surviving record",IF(L140="Yes","Populate and validate email","Complete remediation and validation")))</x:f>
        <x:v>No action</x:v>
      </x:c>
    </x:row>
    <x:row r="141">
      <x:c r="A141" s="505" t="n">
        <x:v>1141</x:v>
      </x:c>
      <x:c r="B141" s="506" t="str">
        <x:v>Emp141</x:v>
      </x:c>
      <x:c r="C141" s="506" t="str">
        <x:v>User141</x:v>
      </x:c>
      <x:c r="D141" s="506" t="str">
        <x:v>Brazil</x:v>
      </x:c>
      <x:c r="E141" s="506" t="str">
        <x:v>Finance</x:v>
      </x:c>
      <x:c r="F141" s="506" t="str">
        <x:v>emp141@company.com</x:v>
      </x:c>
      <x:c r="G141" s="506" t="str">
        <x:v>emp141</x:v>
      </x:c>
      <x:c r="H141" s="506" t="str">
        <x:v>BHR141</x:v>
      </x:c>
      <x:c r="I141" s="506" t="str">
        <x:v>MAC141</x:v>
      </x:c>
      <x:c r="J141" s="506" t="str">
        <x:v>XY141</x:v>
      </x:c>
      <x:c r="K141" s="506" t="str">
        <x:v>No</x:v>
      </x:c>
      <x:c r="L141" s="506" t="str">
        <x:v>No</x:v>
      </x:c>
      <x:c r="M141" s="506" t="str">
        <x:v>Clean</x:v>
      </x:c>
      <x:c r="N141" s="506" t="str">
        <x:v>Xytech</x:v>
      </x:c>
      <x:c r="O141" s="506" t="str">
        <x:v>Confirmed</x:v>
      </x:c>
      <x:c r="P141" s="506" t="str">
        <x:v>Validated</x:v>
      </x:c>
      <x:c r="Q141" s="506" t="str">
        <x:f>IF(OR(COUNTIF($A$2:$A$201,A141)&gt;1,COUNTIF($G$2:$G$201,G141)&gt;1,AND(F141&lt;&gt;"",COUNTIF($F$2:$F$201,F141)&gt;1),COUNTIF($H$2:$H$201,H141)&gt;1,COUNTIF($I$2:$I$201,I141)&gt;1,COUNTIF($J$2:$J$201,J141)&gt;1),"Yes","No")</x:f>
        <x:v>No</x:v>
      </x:c>
      <x:c r="R141" s="506" t="str">
        <x:f>IF(F141="","Missing",IF(AND(ISNUMBER(SEARCH("@",F141)),ISNUMBER(SEARCH(".",F141))),"Valid","Invalid"))</x:f>
        <x:v>Valid</x:v>
      </x:c>
      <x:c r="S141" s="506" t="n">
        <x:f>IF(K141="Yes",1,0)+IF(L141="Yes",1,0)+IF(M141&lt;&gt;"Clean",1,0)+IF(O141&lt;&gt;"Confirmed",1,0)+IF(P141&lt;&gt;"Validated",1,0)+IF(Q141="Yes",1,0)+IF(R141&lt;&gt;"Valid",1,0)</x:f>
        <x:v>0</x:v>
      </x:c>
      <x:c r="T141" s="517" t="n">
        <x:f>MAX(0,1-S141/7)</x:f>
        <x:v>1</x:v>
      </x:c>
      <x:c r="U141" s="506" t="str">
        <x:f>IF(AND(K141="No",L141="No",M141="Clean",O141="Confirmed",P141="Validated",Q141="No",R141="Valid"),"Ready","Hold")</x:f>
        <x:v>Ready</x:v>
      </x:c>
      <x:c r="V141" s="507" t="str">
        <x:f>IF(U141="Ready","No action",IF(K141="Yes","Resolve duplicate and confirm surviving record",IF(L141="Yes","Populate and validate email","Complete remediation and validation")))</x:f>
        <x:v>No action</x:v>
      </x:c>
    </x:row>
    <x:row r="142">
      <x:c r="A142" s="505" t="n">
        <x:v>1142</x:v>
      </x:c>
      <x:c r="B142" s="506" t="str">
        <x:v>Emp142</x:v>
      </x:c>
      <x:c r="C142" s="506" t="str">
        <x:v>User142</x:v>
      </x:c>
      <x:c r="D142" s="506" t="str">
        <x:v>UK</x:v>
      </x:c>
      <x:c r="E142" s="506" t="str">
        <x:v>IT</x:v>
      </x:c>
      <x:c r="F142" s="506" t="str">
        <x:v>emp142@company.com</x:v>
      </x:c>
      <x:c r="G142" s="506" t="str">
        <x:v>emp142</x:v>
      </x:c>
      <x:c r="H142" s="506" t="str">
        <x:v>BHR142</x:v>
      </x:c>
      <x:c r="I142" s="506" t="str">
        <x:v>MAC142</x:v>
      </x:c>
      <x:c r="J142" s="506" t="str">
        <x:v>XY142</x:v>
      </x:c>
      <x:c r="K142" s="506" t="str">
        <x:v>No</x:v>
      </x:c>
      <x:c r="L142" s="506" t="str">
        <x:v>No</x:v>
      </x:c>
      <x:c r="M142" s="506" t="str">
        <x:v>Clean</x:v>
      </x:c>
      <x:c r="N142" s="506" t="str">
        <x:v>BambooHR</x:v>
      </x:c>
      <x:c r="O142" s="506" t="str">
        <x:v>Confirmed</x:v>
      </x:c>
      <x:c r="P142" s="506" t="str">
        <x:v>Validated</x:v>
      </x:c>
      <x:c r="Q142" s="506" t="str">
        <x:f>IF(OR(COUNTIF($A$2:$A$201,A142)&gt;1,COUNTIF($G$2:$G$201,G142)&gt;1,AND(F142&lt;&gt;"",COUNTIF($F$2:$F$201,F142)&gt;1),COUNTIF($H$2:$H$201,H142)&gt;1,COUNTIF($I$2:$I$201,I142)&gt;1,COUNTIF($J$2:$J$201,J142)&gt;1),"Yes","No")</x:f>
        <x:v>No</x:v>
      </x:c>
      <x:c r="R142" s="506" t="str">
        <x:f>IF(F142="","Missing",IF(AND(ISNUMBER(SEARCH("@",F142)),ISNUMBER(SEARCH(".",F142))),"Valid","Invalid"))</x:f>
        <x:v>Valid</x:v>
      </x:c>
      <x:c r="S142" s="506" t="n">
        <x:f>IF(K142="Yes",1,0)+IF(L142="Yes",1,0)+IF(M142&lt;&gt;"Clean",1,0)+IF(O142&lt;&gt;"Confirmed",1,0)+IF(P142&lt;&gt;"Validated",1,0)+IF(Q142="Yes",1,0)+IF(R142&lt;&gt;"Valid",1,0)</x:f>
        <x:v>0</x:v>
      </x:c>
      <x:c r="T142" s="517" t="n">
        <x:f>MAX(0,1-S142/7)</x:f>
        <x:v>1</x:v>
      </x:c>
      <x:c r="U142" s="506" t="str">
        <x:f>IF(AND(K142="No",L142="No",M142="Clean",O142="Confirmed",P142="Validated",Q142="No",R142="Valid"),"Ready","Hold")</x:f>
        <x:v>Ready</x:v>
      </x:c>
      <x:c r="V142" s="507" t="str">
        <x:f>IF(U142="Ready","No action",IF(K142="Yes","Resolve duplicate and confirm surviving record",IF(L142="Yes","Populate and validate email","Complete remediation and validation")))</x:f>
        <x:v>No action</x:v>
      </x:c>
    </x:row>
    <x:row r="143">
      <x:c r="A143" s="505" t="n">
        <x:v>1143</x:v>
      </x:c>
      <x:c r="B143" s="506" t="str">
        <x:v>Emp143</x:v>
      </x:c>
      <x:c r="C143" s="506" t="str">
        <x:v>User143</x:v>
      </x:c>
      <x:c r="D143" s="506" t="str">
        <x:v>USA</x:v>
      </x:c>
      <x:c r="E143" s="506" t="str">
        <x:v>Operations</x:v>
      </x:c>
      <x:c r="F143" s="506" t="str">
        <x:v>emp143@company.com</x:v>
      </x:c>
      <x:c r="G143" s="506" t="str">
        <x:v>emp143</x:v>
      </x:c>
      <x:c r="H143" s="506" t="str">
        <x:v>BHR143</x:v>
      </x:c>
      <x:c r="I143" s="506" t="str">
        <x:v>MAC143</x:v>
      </x:c>
      <x:c r="J143" s="506" t="str">
        <x:v>XY143</x:v>
      </x:c>
      <x:c r="K143" s="506" t="str">
        <x:v>No</x:v>
      </x:c>
      <x:c r="L143" s="506" t="str">
        <x:v>No</x:v>
      </x:c>
      <x:c r="M143" s="506" t="str">
        <x:v>Clean</x:v>
      </x:c>
      <x:c r="N143" s="506" t="str">
        <x:v>Active Directory</x:v>
      </x:c>
      <x:c r="O143" s="506" t="str">
        <x:v>Confirmed</x:v>
      </x:c>
      <x:c r="P143" s="506" t="str">
        <x:v>Validated</x:v>
      </x:c>
      <x:c r="Q143" s="506" t="str">
        <x:f>IF(OR(COUNTIF($A$2:$A$201,A143)&gt;1,COUNTIF($G$2:$G$201,G143)&gt;1,AND(F143&lt;&gt;"",COUNTIF($F$2:$F$201,F143)&gt;1),COUNTIF($H$2:$H$201,H143)&gt;1,COUNTIF($I$2:$I$201,I143)&gt;1,COUNTIF($J$2:$J$201,J143)&gt;1),"Yes","No")</x:f>
        <x:v>No</x:v>
      </x:c>
      <x:c r="R143" s="506" t="str">
        <x:f>IF(F143="","Missing",IF(AND(ISNUMBER(SEARCH("@",F143)),ISNUMBER(SEARCH(".",F143))),"Valid","Invalid"))</x:f>
        <x:v>Valid</x:v>
      </x:c>
      <x:c r="S143" s="506" t="n">
        <x:f>IF(K143="Yes",1,0)+IF(L143="Yes",1,0)+IF(M143&lt;&gt;"Clean",1,0)+IF(O143&lt;&gt;"Confirmed",1,0)+IF(P143&lt;&gt;"Validated",1,0)+IF(Q143="Yes",1,0)+IF(R143&lt;&gt;"Valid",1,0)</x:f>
        <x:v>0</x:v>
      </x:c>
      <x:c r="T143" s="517" t="n">
        <x:f>MAX(0,1-S143/7)</x:f>
        <x:v>1</x:v>
      </x:c>
      <x:c r="U143" s="506" t="str">
        <x:f>IF(AND(K143="No",L143="No",M143="Clean",O143="Confirmed",P143="Validated",Q143="No",R143="Valid"),"Ready","Hold")</x:f>
        <x:v>Ready</x:v>
      </x:c>
      <x:c r="V143" s="507" t="str">
        <x:f>IF(U143="Ready","No action",IF(K143="Yes","Resolve duplicate and confirm surviving record",IF(L143="Yes","Populate and validate email","Complete remediation and validation")))</x:f>
        <x:v>No action</x:v>
      </x:c>
    </x:row>
    <x:row r="144">
      <x:c r="A144" s="505" t="n">
        <x:v>1144</x:v>
      </x:c>
      <x:c r="B144" s="506" t="str">
        <x:v>Emp144</x:v>
      </x:c>
      <x:c r="C144" s="506" t="str">
        <x:v>User144</x:v>
      </x:c>
      <x:c r="D144" s="506" t="str">
        <x:v>Canada</x:v>
      </x:c>
      <x:c r="E144" s="506" t="str">
        <x:v>Sales</x:v>
      </x:c>
      <x:c r="F144" s="506" t="str">
        <x:v>emp144@company.com</x:v>
      </x:c>
      <x:c r="G144" s="506" t="str">
        <x:v>emp144</x:v>
      </x:c>
      <x:c r="H144" s="506" t="str">
        <x:v>BHR144</x:v>
      </x:c>
      <x:c r="I144" s="506" t="str">
        <x:v>MAC144</x:v>
      </x:c>
      <x:c r="J144" s="506" t="str">
        <x:v>XY144</x:v>
      </x:c>
      <x:c r="K144" s="506" t="str">
        <x:v>No</x:v>
      </x:c>
      <x:c r="L144" s="506" t="str">
        <x:v>No</x:v>
      </x:c>
      <x:c r="M144" s="506" t="str">
        <x:v>Clean</x:v>
      </x:c>
      <x:c r="N144" s="506" t="str">
        <x:v>Maconomy</x:v>
      </x:c>
      <x:c r="O144" s="506" t="str">
        <x:v>Confirmed</x:v>
      </x:c>
      <x:c r="P144" s="506" t="str">
        <x:v>Validated</x:v>
      </x:c>
      <x:c r="Q144" s="506" t="str">
        <x:f>IF(OR(COUNTIF($A$2:$A$201,A144)&gt;1,COUNTIF($G$2:$G$201,G144)&gt;1,AND(F144&lt;&gt;"",COUNTIF($F$2:$F$201,F144)&gt;1),COUNTIF($H$2:$H$201,H144)&gt;1,COUNTIF($I$2:$I$201,I144)&gt;1,COUNTIF($J$2:$J$201,J144)&gt;1),"Yes","No")</x:f>
        <x:v>No</x:v>
      </x:c>
      <x:c r="R144" s="506" t="str">
        <x:f>IF(F144="","Missing",IF(AND(ISNUMBER(SEARCH("@",F144)),ISNUMBER(SEARCH(".",F144))),"Valid","Invalid"))</x:f>
        <x:v>Valid</x:v>
      </x:c>
      <x:c r="S144" s="506" t="n">
        <x:f>IF(K144="Yes",1,0)+IF(L144="Yes",1,0)+IF(M144&lt;&gt;"Clean",1,0)+IF(O144&lt;&gt;"Confirmed",1,0)+IF(P144&lt;&gt;"Validated",1,0)+IF(Q144="Yes",1,0)+IF(R144&lt;&gt;"Valid",1,0)</x:f>
        <x:v>0</x:v>
      </x:c>
      <x:c r="T144" s="517" t="n">
        <x:f>MAX(0,1-S144/7)</x:f>
        <x:v>1</x:v>
      </x:c>
      <x:c r="U144" s="506" t="str">
        <x:f>IF(AND(K144="No",L144="No",M144="Clean",O144="Confirmed",P144="Validated",Q144="No",R144="Valid"),"Ready","Hold")</x:f>
        <x:v>Ready</x:v>
      </x:c>
      <x:c r="V144" s="507" t="str">
        <x:f>IF(U144="Ready","No action",IF(K144="Yes","Resolve duplicate and confirm surviving record",IF(L144="Yes","Populate and validate email","Complete remediation and validation")))</x:f>
        <x:v>No action</x:v>
      </x:c>
    </x:row>
    <x:row r="145">
      <x:c r="A145" s="505" t="n">
        <x:v>1145</x:v>
      </x:c>
      <x:c r="B145" s="506" t="str">
        <x:v>Emp145</x:v>
      </x:c>
      <x:c r="C145" s="506" t="str">
        <x:v>User145</x:v>
      </x:c>
      <x:c r="D145" s="506" t="str">
        <x:v>Germany</x:v>
      </x:c>
      <x:c r="E145" s="506" t="str">
        <x:v>Marketing</x:v>
      </x:c>
      <x:c r="F145" s="506"/>
      <x:c r="G145" s="506" t="str">
        <x:v>emp145</x:v>
      </x:c>
      <x:c r="H145" s="506" t="str">
        <x:v>BHR145</x:v>
      </x:c>
      <x:c r="I145" s="506" t="str">
        <x:v>MAC145</x:v>
      </x:c>
      <x:c r="J145" s="506" t="str">
        <x:v>XY145</x:v>
      </x:c>
      <x:c r="K145" s="506" t="str">
        <x:v>No</x:v>
      </x:c>
      <x:c r="L145" s="506" t="str">
        <x:v>Yes</x:v>
      </x:c>
      <x:c r="M145" s="506" t="str">
        <x:v>Issue</x:v>
      </x:c>
      <x:c r="N145" s="506" t="str">
        <x:v>Xytech</x:v>
      </x:c>
      <x:c r="O145" s="506" t="str">
        <x:v>Pending</x:v>
      </x:c>
      <x:c r="P145" s="506" t="str">
        <x:v>Pending</x:v>
      </x:c>
      <x:c r="Q145" s="506" t="str">
        <x:f>IF(OR(COUNTIF($A$2:$A$201,A145)&gt;1,COUNTIF($G$2:$G$201,G145)&gt;1,AND(F145&lt;&gt;"",COUNTIF($F$2:$F$201,F145)&gt;1),COUNTIF($H$2:$H$201,H145)&gt;1,COUNTIF($I$2:$I$201,I145)&gt;1,COUNTIF($J$2:$J$201,J145)&gt;1),"Yes","No")</x:f>
        <x:v>No</x:v>
      </x:c>
      <x:c r="R145" s="506" t="str">
        <x:f>IF(F145="","Missing",IF(AND(ISNUMBER(SEARCH("@",F145)),ISNUMBER(SEARCH(".",F145))),"Valid","Invalid"))</x:f>
        <x:v>Missing</x:v>
      </x:c>
      <x:c r="S145" s="506" t="n">
        <x:f>IF(K145="Yes",1,0)+IF(L145="Yes",1,0)+IF(M145&lt;&gt;"Clean",1,0)+IF(O145&lt;&gt;"Confirmed",1,0)+IF(P145&lt;&gt;"Validated",1,0)+IF(Q145="Yes",1,0)+IF(R145&lt;&gt;"Valid",1,0)</x:f>
        <x:v>5</x:v>
      </x:c>
      <x:c r="T145" s="517" t="n">
        <x:f>MAX(0,1-S145/7)</x:f>
        <x:v>0.2857142857142857</x:v>
      </x:c>
      <x:c r="U145" s="506" t="str">
        <x:f>IF(AND(K145="No",L145="No",M145="Clean",O145="Confirmed",P145="Validated",Q145="No",R145="Valid"),"Ready","Hold")</x:f>
        <x:v>Hold</x:v>
      </x:c>
      <x:c r="V145" s="507" t="str">
        <x:f>IF(U145="Ready","No action",IF(K145="Yes","Resolve duplicate and confirm surviving record",IF(L145="Yes","Populate and validate email","Complete remediation and validation")))</x:f>
        <x:v>Populate and validate email</x:v>
      </x:c>
    </x:row>
    <x:row r="146">
      <x:c r="A146" s="505" t="n">
        <x:v>1146</x:v>
      </x:c>
      <x:c r="B146" s="506" t="str">
        <x:v>Emp146</x:v>
      </x:c>
      <x:c r="C146" s="506" t="str">
        <x:v>User146</x:v>
      </x:c>
      <x:c r="D146" s="506" t="str">
        <x:v>India</x:v>
      </x:c>
      <x:c r="E146" s="506" t="str">
        <x:v>HR</x:v>
      </x:c>
      <x:c r="F146" s="506" t="str">
        <x:v>emp146@company.com</x:v>
      </x:c>
      <x:c r="G146" s="506" t="str">
        <x:v>emp146</x:v>
      </x:c>
      <x:c r="H146" s="506" t="str">
        <x:v>BHR146</x:v>
      </x:c>
      <x:c r="I146" s="506" t="str">
        <x:v>MAC146</x:v>
      </x:c>
      <x:c r="J146" s="506" t="str">
        <x:v>XY146</x:v>
      </x:c>
      <x:c r="K146" s="506" t="str">
        <x:v>No</x:v>
      </x:c>
      <x:c r="L146" s="506" t="str">
        <x:v>No</x:v>
      </x:c>
      <x:c r="M146" s="506" t="str">
        <x:v>Clean</x:v>
      </x:c>
      <x:c r="N146" s="506" t="str">
        <x:v>BambooHR</x:v>
      </x:c>
      <x:c r="O146" s="506" t="str">
        <x:v>Confirmed</x:v>
      </x:c>
      <x:c r="P146" s="506" t="str">
        <x:v>Validated</x:v>
      </x:c>
      <x:c r="Q146" s="506" t="str">
        <x:f>IF(OR(COUNTIF($A$2:$A$201,A146)&gt;1,COUNTIF($G$2:$G$201,G146)&gt;1,AND(F146&lt;&gt;"",COUNTIF($F$2:$F$201,F146)&gt;1),COUNTIF($H$2:$H$201,H146)&gt;1,COUNTIF($I$2:$I$201,I146)&gt;1,COUNTIF($J$2:$J$201,J146)&gt;1),"Yes","No")</x:f>
        <x:v>No</x:v>
      </x:c>
      <x:c r="R146" s="506" t="str">
        <x:f>IF(F146="","Missing",IF(AND(ISNUMBER(SEARCH("@",F146)),ISNUMBER(SEARCH(".",F146))),"Valid","Invalid"))</x:f>
        <x:v>Valid</x:v>
      </x:c>
      <x:c r="S146" s="506" t="n">
        <x:f>IF(K146="Yes",1,0)+IF(L146="Yes",1,0)+IF(M146&lt;&gt;"Clean",1,0)+IF(O146&lt;&gt;"Confirmed",1,0)+IF(P146&lt;&gt;"Validated",1,0)+IF(Q146="Yes",1,0)+IF(R146&lt;&gt;"Valid",1,0)</x:f>
        <x:v>0</x:v>
      </x:c>
      <x:c r="T146" s="517" t="n">
        <x:f>MAX(0,1-S146/7)</x:f>
        <x:v>1</x:v>
      </x:c>
      <x:c r="U146" s="506" t="str">
        <x:f>IF(AND(K146="No",L146="No",M146="Clean",O146="Confirmed",P146="Validated",Q146="No",R146="Valid"),"Ready","Hold")</x:f>
        <x:v>Ready</x:v>
      </x:c>
      <x:c r="V146" s="507" t="str">
        <x:f>IF(U146="Ready","No action",IF(K146="Yes","Resolve duplicate and confirm surviving record",IF(L146="Yes","Populate and validate email","Complete remediation and validation")))</x:f>
        <x:v>No action</x:v>
      </x:c>
    </x:row>
    <x:row r="147">
      <x:c r="A147" s="505" t="n">
        <x:v>1147</x:v>
      </x:c>
      <x:c r="B147" s="506" t="str">
        <x:v>Emp147</x:v>
      </x:c>
      <x:c r="C147" s="506" t="str">
        <x:v>User147</x:v>
      </x:c>
      <x:c r="D147" s="506" t="str">
        <x:v>Australia</x:v>
      </x:c>
      <x:c r="E147" s="506" t="str">
        <x:v>Finance</x:v>
      </x:c>
      <x:c r="F147" s="506" t="str">
        <x:v>emp147@company.com</x:v>
      </x:c>
      <x:c r="G147" s="506" t="str">
        <x:v>emp147</x:v>
      </x:c>
      <x:c r="H147" s="506" t="str">
        <x:v>BHR147</x:v>
      </x:c>
      <x:c r="I147" s="506" t="str">
        <x:v>MAC147</x:v>
      </x:c>
      <x:c r="J147" s="506" t="str">
        <x:v>XY147</x:v>
      </x:c>
      <x:c r="K147" s="506" t="str">
        <x:v>No</x:v>
      </x:c>
      <x:c r="L147" s="506" t="str">
        <x:v>No</x:v>
      </x:c>
      <x:c r="M147" s="506" t="str">
        <x:v>Clean</x:v>
      </x:c>
      <x:c r="N147" s="506" t="str">
        <x:v>Active Directory</x:v>
      </x:c>
      <x:c r="O147" s="506" t="str">
        <x:v>Confirmed</x:v>
      </x:c>
      <x:c r="P147" s="506" t="str">
        <x:v>Validated</x:v>
      </x:c>
      <x:c r="Q147" s="506" t="str">
        <x:f>IF(OR(COUNTIF($A$2:$A$201,A147)&gt;1,COUNTIF($G$2:$G$201,G147)&gt;1,AND(F147&lt;&gt;"",COUNTIF($F$2:$F$201,F147)&gt;1),COUNTIF($H$2:$H$201,H147)&gt;1,COUNTIF($I$2:$I$201,I147)&gt;1,COUNTIF($J$2:$J$201,J147)&gt;1),"Yes","No")</x:f>
        <x:v>No</x:v>
      </x:c>
      <x:c r="R147" s="506" t="str">
        <x:f>IF(F147="","Missing",IF(AND(ISNUMBER(SEARCH("@",F147)),ISNUMBER(SEARCH(".",F147))),"Valid","Invalid"))</x:f>
        <x:v>Valid</x:v>
      </x:c>
      <x:c r="S147" s="506" t="n">
        <x:f>IF(K147="Yes",1,0)+IF(L147="Yes",1,0)+IF(M147&lt;&gt;"Clean",1,0)+IF(O147&lt;&gt;"Confirmed",1,0)+IF(P147&lt;&gt;"Validated",1,0)+IF(Q147="Yes",1,0)+IF(R147&lt;&gt;"Valid",1,0)</x:f>
        <x:v>0</x:v>
      </x:c>
      <x:c r="T147" s="517" t="n">
        <x:f>MAX(0,1-S147/7)</x:f>
        <x:v>1</x:v>
      </x:c>
      <x:c r="U147" s="506" t="str">
        <x:f>IF(AND(K147="No",L147="No",M147="Clean",O147="Confirmed",P147="Validated",Q147="No",R147="Valid"),"Ready","Hold")</x:f>
        <x:v>Ready</x:v>
      </x:c>
      <x:c r="V147" s="507" t="str">
        <x:f>IF(U147="Ready","No action",IF(K147="Yes","Resolve duplicate and confirm surviving record",IF(L147="Yes","Populate and validate email","Complete remediation and validation")))</x:f>
        <x:v>No action</x:v>
      </x:c>
    </x:row>
    <x:row r="148">
      <x:c r="A148" s="505" t="n">
        <x:v>1148</x:v>
      </x:c>
      <x:c r="B148" s="506" t="str">
        <x:v>Emp148</x:v>
      </x:c>
      <x:c r="C148" s="506" t="str">
        <x:v>User148</x:v>
      </x:c>
      <x:c r="D148" s="506" t="str">
        <x:v>UAE</x:v>
      </x:c>
      <x:c r="E148" s="506" t="str">
        <x:v>IT</x:v>
      </x:c>
      <x:c r="F148" s="506" t="str">
        <x:v>emp148@company.com</x:v>
      </x:c>
      <x:c r="G148" s="506" t="str">
        <x:v>emp148</x:v>
      </x:c>
      <x:c r="H148" s="506" t="str">
        <x:v>BHR148</x:v>
      </x:c>
      <x:c r="I148" s="506" t="str">
        <x:v>MAC148</x:v>
      </x:c>
      <x:c r="J148" s="506" t="str">
        <x:v>XY148</x:v>
      </x:c>
      <x:c r="K148" s="506" t="str">
        <x:v>Yes</x:v>
      </x:c>
      <x:c r="L148" s="506" t="str">
        <x:v>No</x:v>
      </x:c>
      <x:c r="M148" s="506" t="str">
        <x:v>Issue</x:v>
      </x:c>
      <x:c r="N148" s="506" t="str">
        <x:v>Maconomy</x:v>
      </x:c>
      <x:c r="O148" s="506" t="str">
        <x:v>Pending</x:v>
      </x:c>
      <x:c r="P148" s="506" t="str">
        <x:v>Pending</x:v>
      </x:c>
      <x:c r="Q148" s="506" t="str">
        <x:f>IF(OR(COUNTIF($A$2:$A$201,A148)&gt;1,COUNTIF($G$2:$G$201,G148)&gt;1,AND(F148&lt;&gt;"",COUNTIF($F$2:$F$201,F148)&gt;1),COUNTIF($H$2:$H$201,H148)&gt;1,COUNTIF($I$2:$I$201,I148)&gt;1,COUNTIF($J$2:$J$201,J148)&gt;1),"Yes","No")</x:f>
        <x:v>No</x:v>
      </x:c>
      <x:c r="R148" s="506" t="str">
        <x:f>IF(F148="","Missing",IF(AND(ISNUMBER(SEARCH("@",F148)),ISNUMBER(SEARCH(".",F148))),"Valid","Invalid"))</x:f>
        <x:v>Valid</x:v>
      </x:c>
      <x:c r="S148" s="506" t="n">
        <x:f>IF(K148="Yes",1,0)+IF(L148="Yes",1,0)+IF(M148&lt;&gt;"Clean",1,0)+IF(O148&lt;&gt;"Confirmed",1,0)+IF(P148&lt;&gt;"Validated",1,0)+IF(Q148="Yes",1,0)+IF(R148&lt;&gt;"Valid",1,0)</x:f>
        <x:v>4</x:v>
      </x:c>
      <x:c r="T148" s="517" t="n">
        <x:f>MAX(0,1-S148/7)</x:f>
        <x:v>0.4285714285714286</x:v>
      </x:c>
      <x:c r="U148" s="506" t="str">
        <x:f>IF(AND(K148="No",L148="No",M148="Clean",O148="Confirmed",P148="Validated",Q148="No",R148="Valid"),"Ready","Hold")</x:f>
        <x:v>Hold</x:v>
      </x:c>
      <x:c r="V148" s="507" t="str">
        <x:f>IF(U148="Ready","No action",IF(K148="Yes","Resolve duplicate and confirm surviving record",IF(L148="Yes","Populate and validate email","Complete remediation and validation")))</x:f>
        <x:v>Resolve duplicate and confirm surviving record</x:v>
      </x:c>
    </x:row>
    <x:row r="149">
      <x:c r="A149" s="505" t="n">
        <x:v>1149</x:v>
      </x:c>
      <x:c r="B149" s="506" t="str">
        <x:v>Emp149</x:v>
      </x:c>
      <x:c r="C149" s="506" t="str">
        <x:v>User149</x:v>
      </x:c>
      <x:c r="D149" s="506" t="str">
        <x:v>France</x:v>
      </x:c>
      <x:c r="E149" s="506" t="str">
        <x:v>Operations</x:v>
      </x:c>
      <x:c r="F149" s="506" t="str">
        <x:v>emp149@company.com</x:v>
      </x:c>
      <x:c r="G149" s="506" t="str">
        <x:v>emp149</x:v>
      </x:c>
      <x:c r="H149" s="506" t="str">
        <x:v>BHR149</x:v>
      </x:c>
      <x:c r="I149" s="506" t="str">
        <x:v>MAC149</x:v>
      </x:c>
      <x:c r="J149" s="506" t="str">
        <x:v>XY149</x:v>
      </x:c>
      <x:c r="K149" s="506" t="str">
        <x:v>No</x:v>
      </x:c>
      <x:c r="L149" s="506" t="str">
        <x:v>No</x:v>
      </x:c>
      <x:c r="M149" s="506" t="str">
        <x:v>Clean</x:v>
      </x:c>
      <x:c r="N149" s="506" t="str">
        <x:v>Xytech</x:v>
      </x:c>
      <x:c r="O149" s="506" t="str">
        <x:v>Confirmed</x:v>
      </x:c>
      <x:c r="P149" s="506" t="str">
        <x:v>Validated</x:v>
      </x:c>
      <x:c r="Q149" s="506" t="str">
        <x:f>IF(OR(COUNTIF($A$2:$A$201,A149)&gt;1,COUNTIF($G$2:$G$201,G149)&gt;1,AND(F149&lt;&gt;"",COUNTIF($F$2:$F$201,F149)&gt;1),COUNTIF($H$2:$H$201,H149)&gt;1,COUNTIF($I$2:$I$201,I149)&gt;1,COUNTIF($J$2:$J$201,J149)&gt;1),"Yes","No")</x:f>
        <x:v>No</x:v>
      </x:c>
      <x:c r="R149" s="506" t="str">
        <x:f>IF(F149="","Missing",IF(AND(ISNUMBER(SEARCH("@",F149)),ISNUMBER(SEARCH(".",F149))),"Valid","Invalid"))</x:f>
        <x:v>Valid</x:v>
      </x:c>
      <x:c r="S149" s="506" t="n">
        <x:f>IF(K149="Yes",1,0)+IF(L149="Yes",1,0)+IF(M149&lt;&gt;"Clean",1,0)+IF(O149&lt;&gt;"Confirmed",1,0)+IF(P149&lt;&gt;"Validated",1,0)+IF(Q149="Yes",1,0)+IF(R149&lt;&gt;"Valid",1,0)</x:f>
        <x:v>0</x:v>
      </x:c>
      <x:c r="T149" s="517" t="n">
        <x:f>MAX(0,1-S149/7)</x:f>
        <x:v>1</x:v>
      </x:c>
      <x:c r="U149" s="506" t="str">
        <x:f>IF(AND(K149="No",L149="No",M149="Clean",O149="Confirmed",P149="Validated",Q149="No",R149="Valid"),"Ready","Hold")</x:f>
        <x:v>Ready</x:v>
      </x:c>
      <x:c r="V149" s="507" t="str">
        <x:f>IF(U149="Ready","No action",IF(K149="Yes","Resolve duplicate and confirm surviving record",IF(L149="Yes","Populate and validate email","Complete remediation and validation")))</x:f>
        <x:v>No action</x:v>
      </x:c>
    </x:row>
    <x:row r="150">
      <x:c r="A150" s="505" t="n">
        <x:v>1150</x:v>
      </x:c>
      <x:c r="B150" s="506" t="str">
        <x:v>Emp150</x:v>
      </x:c>
      <x:c r="C150" s="506" t="str">
        <x:v>User150</x:v>
      </x:c>
      <x:c r="D150" s="506" t="str">
        <x:v>Nigeria</x:v>
      </x:c>
      <x:c r="E150" s="506" t="str">
        <x:v>Sales</x:v>
      </x:c>
      <x:c r="F150" s="506" t="str">
        <x:v>emp150@company.com</x:v>
      </x:c>
      <x:c r="G150" s="506" t="str">
        <x:v>emp150</x:v>
      </x:c>
      <x:c r="H150" s="506" t="str">
        <x:v>BHR150</x:v>
      </x:c>
      <x:c r="I150" s="506" t="str">
        <x:v>MAC150</x:v>
      </x:c>
      <x:c r="J150" s="506" t="str">
        <x:v>XY150</x:v>
      </x:c>
      <x:c r="K150" s="506" t="str">
        <x:v>No</x:v>
      </x:c>
      <x:c r="L150" s="506" t="str">
        <x:v>No</x:v>
      </x:c>
      <x:c r="M150" s="506" t="str">
        <x:v>Clean</x:v>
      </x:c>
      <x:c r="N150" s="506" t="str">
        <x:v>BambooHR</x:v>
      </x:c>
      <x:c r="O150" s="506" t="str">
        <x:v>Confirmed</x:v>
      </x:c>
      <x:c r="P150" s="506" t="str">
        <x:v>Validated</x:v>
      </x:c>
      <x:c r="Q150" s="506" t="str">
        <x:f>IF(OR(COUNTIF($A$2:$A$201,A150)&gt;1,COUNTIF($G$2:$G$201,G150)&gt;1,AND(F150&lt;&gt;"",COUNTIF($F$2:$F$201,F150)&gt;1),COUNTIF($H$2:$H$201,H150)&gt;1,COUNTIF($I$2:$I$201,I150)&gt;1,COUNTIF($J$2:$J$201,J150)&gt;1),"Yes","No")</x:f>
        <x:v>No</x:v>
      </x:c>
      <x:c r="R150" s="506" t="str">
        <x:f>IF(F150="","Missing",IF(AND(ISNUMBER(SEARCH("@",F150)),ISNUMBER(SEARCH(".",F150))),"Valid","Invalid"))</x:f>
        <x:v>Valid</x:v>
      </x:c>
      <x:c r="S150" s="506" t="n">
        <x:f>IF(K150="Yes",1,0)+IF(L150="Yes",1,0)+IF(M150&lt;&gt;"Clean",1,0)+IF(O150&lt;&gt;"Confirmed",1,0)+IF(P150&lt;&gt;"Validated",1,0)+IF(Q150="Yes",1,0)+IF(R150&lt;&gt;"Valid",1,0)</x:f>
        <x:v>0</x:v>
      </x:c>
      <x:c r="T150" s="517" t="n">
        <x:f>MAX(0,1-S150/7)</x:f>
        <x:v>1</x:v>
      </x:c>
      <x:c r="U150" s="506" t="str">
        <x:f>IF(AND(K150="No",L150="No",M150="Clean",O150="Confirmed",P150="Validated",Q150="No",R150="Valid"),"Ready","Hold")</x:f>
        <x:v>Ready</x:v>
      </x:c>
      <x:c r="V150" s="507" t="str">
        <x:f>IF(U150="Ready","No action",IF(K150="Yes","Resolve duplicate and confirm surviving record",IF(L150="Yes","Populate and validate email","Complete remediation and validation")))</x:f>
        <x:v>No action</x:v>
      </x:c>
    </x:row>
    <x:row r="151">
      <x:c r="A151" s="505" t="n">
        <x:v>1151</x:v>
      </x:c>
      <x:c r="B151" s="506" t="str">
        <x:v>Emp151</x:v>
      </x:c>
      <x:c r="C151" s="506" t="str">
        <x:v>User151</x:v>
      </x:c>
      <x:c r="D151" s="506" t="str">
        <x:v>Gambia</x:v>
      </x:c>
      <x:c r="E151" s="506" t="str">
        <x:v>Marketing</x:v>
      </x:c>
      <x:c r="F151" s="506" t="str">
        <x:v>emp151@company.com</x:v>
      </x:c>
      <x:c r="G151" s="506" t="str">
        <x:v>emp151</x:v>
      </x:c>
      <x:c r="H151" s="506" t="str">
        <x:v>BHR151</x:v>
      </x:c>
      <x:c r="I151" s="506" t="str">
        <x:v>MAC151</x:v>
      </x:c>
      <x:c r="J151" s="506" t="str">
        <x:v>XY151</x:v>
      </x:c>
      <x:c r="K151" s="506" t="str">
        <x:v>No</x:v>
      </x:c>
      <x:c r="L151" s="506" t="str">
        <x:v>No</x:v>
      </x:c>
      <x:c r="M151" s="506" t="str">
        <x:v>Clean</x:v>
      </x:c>
      <x:c r="N151" s="506" t="str">
        <x:v>Active Directory</x:v>
      </x:c>
      <x:c r="O151" s="506" t="str">
        <x:v>Confirmed</x:v>
      </x:c>
      <x:c r="P151" s="506" t="str">
        <x:v>Validated</x:v>
      </x:c>
      <x:c r="Q151" s="506" t="str">
        <x:f>IF(OR(COUNTIF($A$2:$A$201,A151)&gt;1,COUNTIF($G$2:$G$201,G151)&gt;1,AND(F151&lt;&gt;"",COUNTIF($F$2:$F$201,F151)&gt;1),COUNTIF($H$2:$H$201,H151)&gt;1,COUNTIF($I$2:$I$201,I151)&gt;1,COUNTIF($J$2:$J$201,J151)&gt;1),"Yes","No")</x:f>
        <x:v>No</x:v>
      </x:c>
      <x:c r="R151" s="506" t="str">
        <x:f>IF(F151="","Missing",IF(AND(ISNUMBER(SEARCH("@",F151)),ISNUMBER(SEARCH(".",F151))),"Valid","Invalid"))</x:f>
        <x:v>Valid</x:v>
      </x:c>
      <x:c r="S151" s="506" t="n">
        <x:f>IF(K151="Yes",1,0)+IF(L151="Yes",1,0)+IF(M151&lt;&gt;"Clean",1,0)+IF(O151&lt;&gt;"Confirmed",1,0)+IF(P151&lt;&gt;"Validated",1,0)+IF(Q151="Yes",1,0)+IF(R151&lt;&gt;"Valid",1,0)</x:f>
        <x:v>0</x:v>
      </x:c>
      <x:c r="T151" s="517" t="n">
        <x:f>MAX(0,1-S151/7)</x:f>
        <x:v>1</x:v>
      </x:c>
      <x:c r="U151" s="506" t="str">
        <x:f>IF(AND(K151="No",L151="No",M151="Clean",O151="Confirmed",P151="Validated",Q151="No",R151="Valid"),"Ready","Hold")</x:f>
        <x:v>Ready</x:v>
      </x:c>
      <x:c r="V151" s="507" t="str">
        <x:f>IF(U151="Ready","No action",IF(K151="Yes","Resolve duplicate and confirm surviving record",IF(L151="Yes","Populate and validate email","Complete remediation and validation")))</x:f>
        <x:v>No action</x:v>
      </x:c>
    </x:row>
    <x:row r="152">
      <x:c r="A152" s="505" t="n">
        <x:v>1152</x:v>
      </x:c>
      <x:c r="B152" s="506" t="str">
        <x:v>Emp152</x:v>
      </x:c>
      <x:c r="C152" s="506" t="str">
        <x:v>User152</x:v>
      </x:c>
      <x:c r="D152" s="506" t="str">
        <x:v>Spain</x:v>
      </x:c>
      <x:c r="E152" s="506" t="str">
        <x:v>HR</x:v>
      </x:c>
      <x:c r="F152" s="506" t="str">
        <x:v>emp152@company.com</x:v>
      </x:c>
      <x:c r="G152" s="506" t="str">
        <x:v>emp152</x:v>
      </x:c>
      <x:c r="H152" s="506" t="str">
        <x:v>BHR152</x:v>
      </x:c>
      <x:c r="I152" s="506" t="str">
        <x:v>MAC152</x:v>
      </x:c>
      <x:c r="J152" s="506" t="str">
        <x:v>XY152</x:v>
      </x:c>
      <x:c r="K152" s="506" t="str">
        <x:v>No</x:v>
      </x:c>
      <x:c r="L152" s="506" t="str">
        <x:v>No</x:v>
      </x:c>
      <x:c r="M152" s="506" t="str">
        <x:v>Clean</x:v>
      </x:c>
      <x:c r="N152" s="506" t="str">
        <x:v>Maconomy</x:v>
      </x:c>
      <x:c r="O152" s="506" t="str">
        <x:v>Confirmed</x:v>
      </x:c>
      <x:c r="P152" s="506" t="str">
        <x:v>Validated</x:v>
      </x:c>
      <x:c r="Q152" s="506" t="str">
        <x:f>IF(OR(COUNTIF($A$2:$A$201,A152)&gt;1,COUNTIF($G$2:$G$201,G152)&gt;1,AND(F152&lt;&gt;"",COUNTIF($F$2:$F$201,F152)&gt;1),COUNTIF($H$2:$H$201,H152)&gt;1,COUNTIF($I$2:$I$201,I152)&gt;1,COUNTIF($J$2:$J$201,J152)&gt;1),"Yes","No")</x:f>
        <x:v>No</x:v>
      </x:c>
      <x:c r="R152" s="506" t="str">
        <x:f>IF(F152="","Missing",IF(AND(ISNUMBER(SEARCH("@",F152)),ISNUMBER(SEARCH(".",F152))),"Valid","Invalid"))</x:f>
        <x:v>Valid</x:v>
      </x:c>
      <x:c r="S152" s="506" t="n">
        <x:f>IF(K152="Yes",1,0)+IF(L152="Yes",1,0)+IF(M152&lt;&gt;"Clean",1,0)+IF(O152&lt;&gt;"Confirmed",1,0)+IF(P152&lt;&gt;"Validated",1,0)+IF(Q152="Yes",1,0)+IF(R152&lt;&gt;"Valid",1,0)</x:f>
        <x:v>0</x:v>
      </x:c>
      <x:c r="T152" s="517" t="n">
        <x:f>MAX(0,1-S152/7)</x:f>
        <x:v>1</x:v>
      </x:c>
      <x:c r="U152" s="506" t="str">
        <x:f>IF(AND(K152="No",L152="No",M152="Clean",O152="Confirmed",P152="Validated",Q152="No",R152="Valid"),"Ready","Hold")</x:f>
        <x:v>Ready</x:v>
      </x:c>
      <x:c r="V152" s="507" t="str">
        <x:f>IF(U152="Ready","No action",IF(K152="Yes","Resolve duplicate and confirm surviving record",IF(L152="Yes","Populate and validate email","Complete remediation and validation")))</x:f>
        <x:v>No action</x:v>
      </x:c>
    </x:row>
    <x:row r="153">
      <x:c r="A153" s="505" t="n">
        <x:v>1153</x:v>
      </x:c>
      <x:c r="B153" s="506" t="str">
        <x:v>Emp153</x:v>
      </x:c>
      <x:c r="C153" s="506" t="str">
        <x:v>User153</x:v>
      </x:c>
      <x:c r="D153" s="506" t="str">
        <x:v>Netherlands</x:v>
      </x:c>
      <x:c r="E153" s="506" t="str">
        <x:v>Finance</x:v>
      </x:c>
      <x:c r="F153" s="506" t="str">
        <x:v>emp153@company.com</x:v>
      </x:c>
      <x:c r="G153" s="506" t="str">
        <x:v>emp153</x:v>
      </x:c>
      <x:c r="H153" s="506" t="str">
        <x:v>BHR153</x:v>
      </x:c>
      <x:c r="I153" s="506" t="str">
        <x:v>MAC153</x:v>
      </x:c>
      <x:c r="J153" s="506" t="str">
        <x:v>XY153</x:v>
      </x:c>
      <x:c r="K153" s="506" t="str">
        <x:v>No</x:v>
      </x:c>
      <x:c r="L153" s="506" t="str">
        <x:v>No</x:v>
      </x:c>
      <x:c r="M153" s="506" t="str">
        <x:v>Clean</x:v>
      </x:c>
      <x:c r="N153" s="506" t="str">
        <x:v>Xytech</x:v>
      </x:c>
      <x:c r="O153" s="506" t="str">
        <x:v>Confirmed</x:v>
      </x:c>
      <x:c r="P153" s="506" t="str">
        <x:v>Validated</x:v>
      </x:c>
      <x:c r="Q153" s="506" t="str">
        <x:f>IF(OR(COUNTIF($A$2:$A$201,A153)&gt;1,COUNTIF($G$2:$G$201,G153)&gt;1,AND(F153&lt;&gt;"",COUNTIF($F$2:$F$201,F153)&gt;1),COUNTIF($H$2:$H$201,H153)&gt;1,COUNTIF($I$2:$I$201,I153)&gt;1,COUNTIF($J$2:$J$201,J153)&gt;1),"Yes","No")</x:f>
        <x:v>No</x:v>
      </x:c>
      <x:c r="R153" s="506" t="str">
        <x:f>IF(F153="","Missing",IF(AND(ISNUMBER(SEARCH("@",F153)),ISNUMBER(SEARCH(".",F153))),"Valid","Invalid"))</x:f>
        <x:v>Valid</x:v>
      </x:c>
      <x:c r="S153" s="506" t="n">
        <x:f>IF(K153="Yes",1,0)+IF(L153="Yes",1,0)+IF(M153&lt;&gt;"Clean",1,0)+IF(O153&lt;&gt;"Confirmed",1,0)+IF(P153&lt;&gt;"Validated",1,0)+IF(Q153="Yes",1,0)+IF(R153&lt;&gt;"Valid",1,0)</x:f>
        <x:v>0</x:v>
      </x:c>
      <x:c r="T153" s="517" t="n">
        <x:f>MAX(0,1-S153/7)</x:f>
        <x:v>1</x:v>
      </x:c>
      <x:c r="U153" s="506" t="str">
        <x:f>IF(AND(K153="No",L153="No",M153="Clean",O153="Confirmed",P153="Validated",Q153="No",R153="Valid"),"Ready","Hold")</x:f>
        <x:v>Ready</x:v>
      </x:c>
      <x:c r="V153" s="507" t="str">
        <x:f>IF(U153="Ready","No action",IF(K153="Yes","Resolve duplicate and confirm surviving record",IF(L153="Yes","Populate and validate email","Complete remediation and validation")))</x:f>
        <x:v>No action</x:v>
      </x:c>
    </x:row>
    <x:row r="154">
      <x:c r="A154" s="505" t="n">
        <x:v>1154</x:v>
      </x:c>
      <x:c r="B154" s="506" t="str">
        <x:v>Emp154</x:v>
      </x:c>
      <x:c r="C154" s="506" t="str">
        <x:v>User154</x:v>
      </x:c>
      <x:c r="D154" s="506" t="str">
        <x:v>Singapore</x:v>
      </x:c>
      <x:c r="E154" s="506" t="str">
        <x:v>IT</x:v>
      </x:c>
      <x:c r="F154" s="506" t="str">
        <x:v>emp154@company.com</x:v>
      </x:c>
      <x:c r="G154" s="506" t="str">
        <x:v>emp154</x:v>
      </x:c>
      <x:c r="H154" s="506" t="str">
        <x:v>BHR154</x:v>
      </x:c>
      <x:c r="I154" s="506" t="str">
        <x:v>MAC154</x:v>
      </x:c>
      <x:c r="J154" s="506" t="str">
        <x:v>XY154</x:v>
      </x:c>
      <x:c r="K154" s="506" t="str">
        <x:v>No</x:v>
      </x:c>
      <x:c r="L154" s="506" t="str">
        <x:v>No</x:v>
      </x:c>
      <x:c r="M154" s="506" t="str">
        <x:v>Clean</x:v>
      </x:c>
      <x:c r="N154" s="506" t="str">
        <x:v>BambooHR</x:v>
      </x:c>
      <x:c r="O154" s="506" t="str">
        <x:v>Confirmed</x:v>
      </x:c>
      <x:c r="P154" s="506" t="str">
        <x:v>Validated</x:v>
      </x:c>
      <x:c r="Q154" s="506" t="str">
        <x:f>IF(OR(COUNTIF($A$2:$A$201,A154)&gt;1,COUNTIF($G$2:$G$201,G154)&gt;1,AND(F154&lt;&gt;"",COUNTIF($F$2:$F$201,F154)&gt;1),COUNTIF($H$2:$H$201,H154)&gt;1,COUNTIF($I$2:$I$201,I154)&gt;1,COUNTIF($J$2:$J$201,J154)&gt;1),"Yes","No")</x:f>
        <x:v>No</x:v>
      </x:c>
      <x:c r="R154" s="506" t="str">
        <x:f>IF(F154="","Missing",IF(AND(ISNUMBER(SEARCH("@",F154)),ISNUMBER(SEARCH(".",F154))),"Valid","Invalid"))</x:f>
        <x:v>Valid</x:v>
      </x:c>
      <x:c r="S154" s="506" t="n">
        <x:f>IF(K154="Yes",1,0)+IF(L154="Yes",1,0)+IF(M154&lt;&gt;"Clean",1,0)+IF(O154&lt;&gt;"Confirmed",1,0)+IF(P154&lt;&gt;"Validated",1,0)+IF(Q154="Yes",1,0)+IF(R154&lt;&gt;"Valid",1,0)</x:f>
        <x:v>0</x:v>
      </x:c>
      <x:c r="T154" s="517" t="n">
        <x:f>MAX(0,1-S154/7)</x:f>
        <x:v>1</x:v>
      </x:c>
      <x:c r="U154" s="506" t="str">
        <x:f>IF(AND(K154="No",L154="No",M154="Clean",O154="Confirmed",P154="Validated",Q154="No",R154="Valid"),"Ready","Hold")</x:f>
        <x:v>Ready</x:v>
      </x:c>
      <x:c r="V154" s="507" t="str">
        <x:f>IF(U154="Ready","No action",IF(K154="Yes","Resolve duplicate and confirm surviving record",IF(L154="Yes","Populate and validate email","Complete remediation and validation")))</x:f>
        <x:v>No action</x:v>
      </x:c>
    </x:row>
    <x:row r="155">
      <x:c r="A155" s="505" t="n">
        <x:v>1155</x:v>
      </x:c>
      <x:c r="B155" s="506" t="str">
        <x:v>Emp155</x:v>
      </x:c>
      <x:c r="C155" s="506" t="str">
        <x:v>User155</x:v>
      </x:c>
      <x:c r="D155" s="506" t="str">
        <x:v>Brazil</x:v>
      </x:c>
      <x:c r="E155" s="506" t="str">
        <x:v>Operations</x:v>
      </x:c>
      <x:c r="F155" s="506" t="str">
        <x:v>emp155@company.com</x:v>
      </x:c>
      <x:c r="G155" s="506" t="str">
        <x:v>emp155</x:v>
      </x:c>
      <x:c r="H155" s="506" t="str">
        <x:v>BHR155</x:v>
      </x:c>
      <x:c r="I155" s="506" t="str">
        <x:v>MAC155</x:v>
      </x:c>
      <x:c r="J155" s="506" t="str">
        <x:v>XY155</x:v>
      </x:c>
      <x:c r="K155" s="506" t="str">
        <x:v>No</x:v>
      </x:c>
      <x:c r="L155" s="506" t="str">
        <x:v>No</x:v>
      </x:c>
      <x:c r="M155" s="506" t="str">
        <x:v>Clean</x:v>
      </x:c>
      <x:c r="N155" s="506" t="str">
        <x:v>Active Directory</x:v>
      </x:c>
      <x:c r="O155" s="506" t="str">
        <x:v>Confirmed</x:v>
      </x:c>
      <x:c r="P155" s="506" t="str">
        <x:v>Validated</x:v>
      </x:c>
      <x:c r="Q155" s="506" t="str">
        <x:f>IF(OR(COUNTIF($A$2:$A$201,A155)&gt;1,COUNTIF($G$2:$G$201,G155)&gt;1,AND(F155&lt;&gt;"",COUNTIF($F$2:$F$201,F155)&gt;1),COUNTIF($H$2:$H$201,H155)&gt;1,COUNTIF($I$2:$I$201,I155)&gt;1,COUNTIF($J$2:$J$201,J155)&gt;1),"Yes","No")</x:f>
        <x:v>No</x:v>
      </x:c>
      <x:c r="R155" s="506" t="str">
        <x:f>IF(F155="","Missing",IF(AND(ISNUMBER(SEARCH("@",F155)),ISNUMBER(SEARCH(".",F155))),"Valid","Invalid"))</x:f>
        <x:v>Valid</x:v>
      </x:c>
      <x:c r="S155" s="506" t="n">
        <x:f>IF(K155="Yes",1,0)+IF(L155="Yes",1,0)+IF(M155&lt;&gt;"Clean",1,0)+IF(O155&lt;&gt;"Confirmed",1,0)+IF(P155&lt;&gt;"Validated",1,0)+IF(Q155="Yes",1,0)+IF(R155&lt;&gt;"Valid",1,0)</x:f>
        <x:v>0</x:v>
      </x:c>
      <x:c r="T155" s="517" t="n">
        <x:f>MAX(0,1-S155/7)</x:f>
        <x:v>1</x:v>
      </x:c>
      <x:c r="U155" s="506" t="str">
        <x:f>IF(AND(K155="No",L155="No",M155="Clean",O155="Confirmed",P155="Validated",Q155="No",R155="Valid"),"Ready","Hold")</x:f>
        <x:v>Ready</x:v>
      </x:c>
      <x:c r="V155" s="507" t="str">
        <x:f>IF(U155="Ready","No action",IF(K155="Yes","Resolve duplicate and confirm surviving record",IF(L155="Yes","Populate and validate email","Complete remediation and validation")))</x:f>
        <x:v>No action</x:v>
      </x:c>
    </x:row>
    <x:row r="156">
      <x:c r="A156" s="505" t="n">
        <x:v>1156</x:v>
      </x:c>
      <x:c r="B156" s="506" t="str">
        <x:v>Emp156</x:v>
      </x:c>
      <x:c r="C156" s="506" t="str">
        <x:v>User156</x:v>
      </x:c>
      <x:c r="D156" s="506" t="str">
        <x:v>UK</x:v>
      </x:c>
      <x:c r="E156" s="506" t="str">
        <x:v>Sales</x:v>
      </x:c>
      <x:c r="F156" s="506" t="str">
        <x:v>emp156@company.com</x:v>
      </x:c>
      <x:c r="G156" s="506" t="str">
        <x:v>emp156</x:v>
      </x:c>
      <x:c r="H156" s="506" t="str">
        <x:v>BHR156</x:v>
      </x:c>
      <x:c r="I156" s="506" t="str">
        <x:v>MAC156</x:v>
      </x:c>
      <x:c r="J156" s="506" t="str">
        <x:v>XY156</x:v>
      </x:c>
      <x:c r="K156" s="506" t="str">
        <x:v>No</x:v>
      </x:c>
      <x:c r="L156" s="506" t="str">
        <x:v>No</x:v>
      </x:c>
      <x:c r="M156" s="506" t="str">
        <x:v>Clean</x:v>
      </x:c>
      <x:c r="N156" s="506" t="str">
        <x:v>Maconomy</x:v>
      </x:c>
      <x:c r="O156" s="506" t="str">
        <x:v>Confirmed</x:v>
      </x:c>
      <x:c r="P156" s="506" t="str">
        <x:v>Validated</x:v>
      </x:c>
      <x:c r="Q156" s="506" t="str">
        <x:f>IF(OR(COUNTIF($A$2:$A$201,A156)&gt;1,COUNTIF($G$2:$G$201,G156)&gt;1,AND(F156&lt;&gt;"",COUNTIF($F$2:$F$201,F156)&gt;1),COUNTIF($H$2:$H$201,H156)&gt;1,COUNTIF($I$2:$I$201,I156)&gt;1,COUNTIF($J$2:$J$201,J156)&gt;1),"Yes","No")</x:f>
        <x:v>No</x:v>
      </x:c>
      <x:c r="R156" s="506" t="str">
        <x:f>IF(F156="","Missing",IF(AND(ISNUMBER(SEARCH("@",F156)),ISNUMBER(SEARCH(".",F156))),"Valid","Invalid"))</x:f>
        <x:v>Valid</x:v>
      </x:c>
      <x:c r="S156" s="506" t="n">
        <x:f>IF(K156="Yes",1,0)+IF(L156="Yes",1,0)+IF(M156&lt;&gt;"Clean",1,0)+IF(O156&lt;&gt;"Confirmed",1,0)+IF(P156&lt;&gt;"Validated",1,0)+IF(Q156="Yes",1,0)+IF(R156&lt;&gt;"Valid",1,0)</x:f>
        <x:v>0</x:v>
      </x:c>
      <x:c r="T156" s="517" t="n">
        <x:f>MAX(0,1-S156/7)</x:f>
        <x:v>1</x:v>
      </x:c>
      <x:c r="U156" s="506" t="str">
        <x:f>IF(AND(K156="No",L156="No",M156="Clean",O156="Confirmed",P156="Validated",Q156="No",R156="Valid"),"Ready","Hold")</x:f>
        <x:v>Ready</x:v>
      </x:c>
      <x:c r="V156" s="507" t="str">
        <x:f>IF(U156="Ready","No action",IF(K156="Yes","Resolve duplicate and confirm surviving record",IF(L156="Yes","Populate and validate email","Complete remediation and validation")))</x:f>
        <x:v>No action</x:v>
      </x:c>
    </x:row>
    <x:row r="157">
      <x:c r="A157" s="505" t="n">
        <x:v>1157</x:v>
      </x:c>
      <x:c r="B157" s="506" t="str">
        <x:v>Emp157</x:v>
      </x:c>
      <x:c r="C157" s="506" t="str">
        <x:v>User157</x:v>
      </x:c>
      <x:c r="D157" s="506" t="str">
        <x:v>USA</x:v>
      </x:c>
      <x:c r="E157" s="506" t="str">
        <x:v>Marketing</x:v>
      </x:c>
      <x:c r="F157" s="506" t="str">
        <x:v>emp157@company.com</x:v>
      </x:c>
      <x:c r="G157" s="506" t="str">
        <x:v>emp157</x:v>
      </x:c>
      <x:c r="H157" s="506" t="str">
        <x:v>BHR157</x:v>
      </x:c>
      <x:c r="I157" s="506" t="str">
        <x:v>MAC157</x:v>
      </x:c>
      <x:c r="J157" s="506" t="str">
        <x:v>XY157</x:v>
      </x:c>
      <x:c r="K157" s="506" t="str">
        <x:v>No</x:v>
      </x:c>
      <x:c r="L157" s="506" t="str">
        <x:v>No</x:v>
      </x:c>
      <x:c r="M157" s="506" t="str">
        <x:v>Clean</x:v>
      </x:c>
      <x:c r="N157" s="506" t="str">
        <x:v>Xytech</x:v>
      </x:c>
      <x:c r="O157" s="506" t="str">
        <x:v>Confirmed</x:v>
      </x:c>
      <x:c r="P157" s="506" t="str">
        <x:v>Validated</x:v>
      </x:c>
      <x:c r="Q157" s="506" t="str">
        <x:f>IF(OR(COUNTIF($A$2:$A$201,A157)&gt;1,COUNTIF($G$2:$G$201,G157)&gt;1,AND(F157&lt;&gt;"",COUNTIF($F$2:$F$201,F157)&gt;1),COUNTIF($H$2:$H$201,H157)&gt;1,COUNTIF($I$2:$I$201,I157)&gt;1,COUNTIF($J$2:$J$201,J157)&gt;1),"Yes","No")</x:f>
        <x:v>No</x:v>
      </x:c>
      <x:c r="R157" s="506" t="str">
        <x:f>IF(F157="","Missing",IF(AND(ISNUMBER(SEARCH("@",F157)),ISNUMBER(SEARCH(".",F157))),"Valid","Invalid"))</x:f>
        <x:v>Valid</x:v>
      </x:c>
      <x:c r="S157" s="506" t="n">
        <x:f>IF(K157="Yes",1,0)+IF(L157="Yes",1,0)+IF(M157&lt;&gt;"Clean",1,0)+IF(O157&lt;&gt;"Confirmed",1,0)+IF(P157&lt;&gt;"Validated",1,0)+IF(Q157="Yes",1,0)+IF(R157&lt;&gt;"Valid",1,0)</x:f>
        <x:v>0</x:v>
      </x:c>
      <x:c r="T157" s="517" t="n">
        <x:f>MAX(0,1-S157/7)</x:f>
        <x:v>1</x:v>
      </x:c>
      <x:c r="U157" s="506" t="str">
        <x:f>IF(AND(K157="No",L157="No",M157="Clean",O157="Confirmed",P157="Validated",Q157="No",R157="Valid"),"Ready","Hold")</x:f>
        <x:v>Ready</x:v>
      </x:c>
      <x:c r="V157" s="507" t="str">
        <x:f>IF(U157="Ready","No action",IF(K157="Yes","Resolve duplicate and confirm surviving record",IF(L157="Yes","Populate and validate email","Complete remediation and validation")))</x:f>
        <x:v>No action</x:v>
      </x:c>
    </x:row>
    <x:row r="158">
      <x:c r="A158" s="505" t="n">
        <x:v>1158</x:v>
      </x:c>
      <x:c r="B158" s="506" t="str">
        <x:v>Emp158</x:v>
      </x:c>
      <x:c r="C158" s="506" t="str">
        <x:v>User158</x:v>
      </x:c>
      <x:c r="D158" s="506" t="str">
        <x:v>Canada</x:v>
      </x:c>
      <x:c r="E158" s="506" t="str">
        <x:v>HR</x:v>
      </x:c>
      <x:c r="F158" s="506" t="str">
        <x:v>emp158@company.com</x:v>
      </x:c>
      <x:c r="G158" s="506" t="str">
        <x:v>emp158</x:v>
      </x:c>
      <x:c r="H158" s="506" t="str">
        <x:v>BHR158</x:v>
      </x:c>
      <x:c r="I158" s="506" t="str">
        <x:v>MAC158</x:v>
      </x:c>
      <x:c r="J158" s="506" t="str">
        <x:v>XY158</x:v>
      </x:c>
      <x:c r="K158" s="506" t="str">
        <x:v>No</x:v>
      </x:c>
      <x:c r="L158" s="506" t="str">
        <x:v>No</x:v>
      </x:c>
      <x:c r="M158" s="506" t="str">
        <x:v>Clean</x:v>
      </x:c>
      <x:c r="N158" s="506" t="str">
        <x:v>BambooHR</x:v>
      </x:c>
      <x:c r="O158" s="506" t="str">
        <x:v>Confirmed</x:v>
      </x:c>
      <x:c r="P158" s="506" t="str">
        <x:v>Validated</x:v>
      </x:c>
      <x:c r="Q158" s="506" t="str">
        <x:f>IF(OR(COUNTIF($A$2:$A$201,A158)&gt;1,COUNTIF($G$2:$G$201,G158)&gt;1,AND(F158&lt;&gt;"",COUNTIF($F$2:$F$201,F158)&gt;1),COUNTIF($H$2:$H$201,H158)&gt;1,COUNTIF($I$2:$I$201,I158)&gt;1,COUNTIF($J$2:$J$201,J158)&gt;1),"Yes","No")</x:f>
        <x:v>No</x:v>
      </x:c>
      <x:c r="R158" s="506" t="str">
        <x:f>IF(F158="","Missing",IF(AND(ISNUMBER(SEARCH("@",F158)),ISNUMBER(SEARCH(".",F158))),"Valid","Invalid"))</x:f>
        <x:v>Valid</x:v>
      </x:c>
      <x:c r="S158" s="506" t="n">
        <x:f>IF(K158="Yes",1,0)+IF(L158="Yes",1,0)+IF(M158&lt;&gt;"Clean",1,0)+IF(O158&lt;&gt;"Confirmed",1,0)+IF(P158&lt;&gt;"Validated",1,0)+IF(Q158="Yes",1,0)+IF(R158&lt;&gt;"Valid",1,0)</x:f>
        <x:v>0</x:v>
      </x:c>
      <x:c r="T158" s="517" t="n">
        <x:f>MAX(0,1-S158/7)</x:f>
        <x:v>1</x:v>
      </x:c>
      <x:c r="U158" s="506" t="str">
        <x:f>IF(AND(K158="No",L158="No",M158="Clean",O158="Confirmed",P158="Validated",Q158="No",R158="Valid"),"Ready","Hold")</x:f>
        <x:v>Ready</x:v>
      </x:c>
      <x:c r="V158" s="507" t="str">
        <x:f>IF(U158="Ready","No action",IF(K158="Yes","Resolve duplicate and confirm surviving record",IF(L158="Yes","Populate and validate email","Complete remediation and validation")))</x:f>
        <x:v>No action</x:v>
      </x:c>
    </x:row>
    <x:row r="159">
      <x:c r="A159" s="505" t="n">
        <x:v>1159</x:v>
      </x:c>
      <x:c r="B159" s="506" t="str">
        <x:v>Emp159</x:v>
      </x:c>
      <x:c r="C159" s="506" t="str">
        <x:v>User159</x:v>
      </x:c>
      <x:c r="D159" s="506" t="str">
        <x:v>Germany</x:v>
      </x:c>
      <x:c r="E159" s="506" t="str">
        <x:v>Finance</x:v>
      </x:c>
      <x:c r="F159" s="506" t="str">
        <x:v>emp159@company.com</x:v>
      </x:c>
      <x:c r="G159" s="506" t="str">
        <x:v>emp159</x:v>
      </x:c>
      <x:c r="H159" s="506" t="str">
        <x:v>BHR159</x:v>
      </x:c>
      <x:c r="I159" s="506" t="str">
        <x:v>MAC159</x:v>
      </x:c>
      <x:c r="J159" s="506" t="str">
        <x:v>XY159</x:v>
      </x:c>
      <x:c r="K159" s="506" t="str">
        <x:v>No</x:v>
      </x:c>
      <x:c r="L159" s="506" t="str">
        <x:v>No</x:v>
      </x:c>
      <x:c r="M159" s="506" t="str">
        <x:v>Clean</x:v>
      </x:c>
      <x:c r="N159" s="506" t="str">
        <x:v>Active Directory</x:v>
      </x:c>
      <x:c r="O159" s="506" t="str">
        <x:v>Confirmed</x:v>
      </x:c>
      <x:c r="P159" s="506" t="str">
        <x:v>Validated</x:v>
      </x:c>
      <x:c r="Q159" s="506" t="str">
        <x:f>IF(OR(COUNTIF($A$2:$A$201,A159)&gt;1,COUNTIF($G$2:$G$201,G159)&gt;1,AND(F159&lt;&gt;"",COUNTIF($F$2:$F$201,F159)&gt;1),COUNTIF($H$2:$H$201,H159)&gt;1,COUNTIF($I$2:$I$201,I159)&gt;1,COUNTIF($J$2:$J$201,J159)&gt;1),"Yes","No")</x:f>
        <x:v>No</x:v>
      </x:c>
      <x:c r="R159" s="506" t="str">
        <x:f>IF(F159="","Missing",IF(AND(ISNUMBER(SEARCH("@",F159)),ISNUMBER(SEARCH(".",F159))),"Valid","Invalid"))</x:f>
        <x:v>Valid</x:v>
      </x:c>
      <x:c r="S159" s="506" t="n">
        <x:f>IF(K159="Yes",1,0)+IF(L159="Yes",1,0)+IF(M159&lt;&gt;"Clean",1,0)+IF(O159&lt;&gt;"Confirmed",1,0)+IF(P159&lt;&gt;"Validated",1,0)+IF(Q159="Yes",1,0)+IF(R159&lt;&gt;"Valid",1,0)</x:f>
        <x:v>0</x:v>
      </x:c>
      <x:c r="T159" s="517" t="n">
        <x:f>MAX(0,1-S159/7)</x:f>
        <x:v>1</x:v>
      </x:c>
      <x:c r="U159" s="506" t="str">
        <x:f>IF(AND(K159="No",L159="No",M159="Clean",O159="Confirmed",P159="Validated",Q159="No",R159="Valid"),"Ready","Hold")</x:f>
        <x:v>Ready</x:v>
      </x:c>
      <x:c r="V159" s="507" t="str">
        <x:f>IF(U159="Ready","No action",IF(K159="Yes","Resolve duplicate and confirm surviving record",IF(L159="Yes","Populate and validate email","Complete remediation and validation")))</x:f>
        <x:v>No action</x:v>
      </x:c>
    </x:row>
    <x:row r="160">
      <x:c r="A160" s="505" t="n">
        <x:v>1160</x:v>
      </x:c>
      <x:c r="B160" s="506" t="str">
        <x:v>Emp160</x:v>
      </x:c>
      <x:c r="C160" s="506" t="str">
        <x:v>User160</x:v>
      </x:c>
      <x:c r="D160" s="506" t="str">
        <x:v>India</x:v>
      </x:c>
      <x:c r="E160" s="506" t="str">
        <x:v>IT</x:v>
      </x:c>
      <x:c r="F160" s="506" t="str">
        <x:v>emp160@company.com</x:v>
      </x:c>
      <x:c r="G160" s="506" t="str">
        <x:v>emp160</x:v>
      </x:c>
      <x:c r="H160" s="506" t="str">
        <x:v>BHR160</x:v>
      </x:c>
      <x:c r="I160" s="506" t="str">
        <x:v>MAC160</x:v>
      </x:c>
      <x:c r="J160" s="506" t="str">
        <x:v>XY160</x:v>
      </x:c>
      <x:c r="K160" s="506" t="str">
        <x:v>No</x:v>
      </x:c>
      <x:c r="L160" s="506" t="str">
        <x:v>No</x:v>
      </x:c>
      <x:c r="M160" s="506" t="str">
        <x:v>Clean</x:v>
      </x:c>
      <x:c r="N160" s="506" t="str">
        <x:v>Maconomy</x:v>
      </x:c>
      <x:c r="O160" s="506" t="str">
        <x:v>Confirmed</x:v>
      </x:c>
      <x:c r="P160" s="506" t="str">
        <x:v>Validated</x:v>
      </x:c>
      <x:c r="Q160" s="506" t="str">
        <x:f>IF(OR(COUNTIF($A$2:$A$201,A160)&gt;1,COUNTIF($G$2:$G$201,G160)&gt;1,AND(F160&lt;&gt;"",COUNTIF($F$2:$F$201,F160)&gt;1),COUNTIF($H$2:$H$201,H160)&gt;1,COUNTIF($I$2:$I$201,I160)&gt;1,COUNTIF($J$2:$J$201,J160)&gt;1),"Yes","No")</x:f>
        <x:v>No</x:v>
      </x:c>
      <x:c r="R160" s="506" t="str">
        <x:f>IF(F160="","Missing",IF(AND(ISNUMBER(SEARCH("@",F160)),ISNUMBER(SEARCH(".",F160))),"Valid","Invalid"))</x:f>
        <x:v>Valid</x:v>
      </x:c>
      <x:c r="S160" s="506" t="n">
        <x:f>IF(K160="Yes",1,0)+IF(L160="Yes",1,0)+IF(M160&lt;&gt;"Clean",1,0)+IF(O160&lt;&gt;"Confirmed",1,0)+IF(P160&lt;&gt;"Validated",1,0)+IF(Q160="Yes",1,0)+IF(R160&lt;&gt;"Valid",1,0)</x:f>
        <x:v>0</x:v>
      </x:c>
      <x:c r="T160" s="517" t="n">
        <x:f>MAX(0,1-S160/7)</x:f>
        <x:v>1</x:v>
      </x:c>
      <x:c r="U160" s="506" t="str">
        <x:f>IF(AND(K160="No",L160="No",M160="Clean",O160="Confirmed",P160="Validated",Q160="No",R160="Valid"),"Ready","Hold")</x:f>
        <x:v>Ready</x:v>
      </x:c>
      <x:c r="V160" s="507" t="str">
        <x:f>IF(U160="Ready","No action",IF(K160="Yes","Resolve duplicate and confirm surviving record",IF(L160="Yes","Populate and validate email","Complete remediation and validation")))</x:f>
        <x:v>No action</x:v>
      </x:c>
    </x:row>
    <x:row r="161">
      <x:c r="A161" s="505" t="n">
        <x:v>1161</x:v>
      </x:c>
      <x:c r="B161" s="506" t="str">
        <x:v>Emp161</x:v>
      </x:c>
      <x:c r="C161" s="506" t="str">
        <x:v>User161</x:v>
      </x:c>
      <x:c r="D161" s="506" t="str">
        <x:v>Australia</x:v>
      </x:c>
      <x:c r="E161" s="506" t="str">
        <x:v>Operations</x:v>
      </x:c>
      <x:c r="F161" s="506" t="str">
        <x:v>emp161@company.com</x:v>
      </x:c>
      <x:c r="G161" s="506" t="str">
        <x:v>emp161</x:v>
      </x:c>
      <x:c r="H161" s="506" t="str">
        <x:v>BHR161</x:v>
      </x:c>
      <x:c r="I161" s="506" t="str">
        <x:v>MAC161</x:v>
      </x:c>
      <x:c r="J161" s="506" t="str">
        <x:v>XY161</x:v>
      </x:c>
      <x:c r="K161" s="506" t="str">
        <x:v>No</x:v>
      </x:c>
      <x:c r="L161" s="506" t="str">
        <x:v>No</x:v>
      </x:c>
      <x:c r="M161" s="506" t="str">
        <x:v>Clean</x:v>
      </x:c>
      <x:c r="N161" s="506" t="str">
        <x:v>Xytech</x:v>
      </x:c>
      <x:c r="O161" s="506" t="str">
        <x:v>Confirmed</x:v>
      </x:c>
      <x:c r="P161" s="506" t="str">
        <x:v>Validated</x:v>
      </x:c>
      <x:c r="Q161" s="506" t="str">
        <x:f>IF(OR(COUNTIF($A$2:$A$201,A161)&gt;1,COUNTIF($G$2:$G$201,G161)&gt;1,AND(F161&lt;&gt;"",COUNTIF($F$2:$F$201,F161)&gt;1),COUNTIF($H$2:$H$201,H161)&gt;1,COUNTIF($I$2:$I$201,I161)&gt;1,COUNTIF($J$2:$J$201,J161)&gt;1),"Yes","No")</x:f>
        <x:v>No</x:v>
      </x:c>
      <x:c r="R161" s="506" t="str">
        <x:f>IF(F161="","Missing",IF(AND(ISNUMBER(SEARCH("@",F161)),ISNUMBER(SEARCH(".",F161))),"Valid","Invalid"))</x:f>
        <x:v>Valid</x:v>
      </x:c>
      <x:c r="S161" s="506" t="n">
        <x:f>IF(K161="Yes",1,0)+IF(L161="Yes",1,0)+IF(M161&lt;&gt;"Clean",1,0)+IF(O161&lt;&gt;"Confirmed",1,0)+IF(P161&lt;&gt;"Validated",1,0)+IF(Q161="Yes",1,0)+IF(R161&lt;&gt;"Valid",1,0)</x:f>
        <x:v>0</x:v>
      </x:c>
      <x:c r="T161" s="517" t="n">
        <x:f>MAX(0,1-S161/7)</x:f>
        <x:v>1</x:v>
      </x:c>
      <x:c r="U161" s="506" t="str">
        <x:f>IF(AND(K161="No",L161="No",M161="Clean",O161="Confirmed",P161="Validated",Q161="No",R161="Valid"),"Ready","Hold")</x:f>
        <x:v>Ready</x:v>
      </x:c>
      <x:c r="V161" s="507" t="str">
        <x:f>IF(U161="Ready","No action",IF(K161="Yes","Resolve duplicate and confirm surviving record",IF(L161="Yes","Populate and validate email","Complete remediation and validation")))</x:f>
        <x:v>No action</x:v>
      </x:c>
    </x:row>
    <x:row r="162">
      <x:c r="A162" s="505" t="n">
        <x:v>1162</x:v>
      </x:c>
      <x:c r="B162" s="506" t="str">
        <x:v>Emp162</x:v>
      </x:c>
      <x:c r="C162" s="506" t="str">
        <x:v>User162</x:v>
      </x:c>
      <x:c r="D162" s="506" t="str">
        <x:v>UAE</x:v>
      </x:c>
      <x:c r="E162" s="506" t="str">
        <x:v>Sales</x:v>
      </x:c>
      <x:c r="F162" s="506" t="str">
        <x:v>emp162@company.com</x:v>
      </x:c>
      <x:c r="G162" s="506" t="str">
        <x:v>emp162</x:v>
      </x:c>
      <x:c r="H162" s="506" t="str">
        <x:v>BHR162</x:v>
      </x:c>
      <x:c r="I162" s="506" t="str">
        <x:v>MAC162</x:v>
      </x:c>
      <x:c r="J162" s="506" t="str">
        <x:v>XY162</x:v>
      </x:c>
      <x:c r="K162" s="506" t="str">
        <x:v>No</x:v>
      </x:c>
      <x:c r="L162" s="506" t="str">
        <x:v>No</x:v>
      </x:c>
      <x:c r="M162" s="506" t="str">
        <x:v>Clean</x:v>
      </x:c>
      <x:c r="N162" s="506" t="str">
        <x:v>BambooHR</x:v>
      </x:c>
      <x:c r="O162" s="506" t="str">
        <x:v>Confirmed</x:v>
      </x:c>
      <x:c r="P162" s="506" t="str">
        <x:v>Validated</x:v>
      </x:c>
      <x:c r="Q162" s="506" t="str">
        <x:f>IF(OR(COUNTIF($A$2:$A$201,A162)&gt;1,COUNTIF($G$2:$G$201,G162)&gt;1,AND(F162&lt;&gt;"",COUNTIF($F$2:$F$201,F162)&gt;1),COUNTIF($H$2:$H$201,H162)&gt;1,COUNTIF($I$2:$I$201,I162)&gt;1,COUNTIF($J$2:$J$201,J162)&gt;1),"Yes","No")</x:f>
        <x:v>No</x:v>
      </x:c>
      <x:c r="R162" s="506" t="str">
        <x:f>IF(F162="","Missing",IF(AND(ISNUMBER(SEARCH("@",F162)),ISNUMBER(SEARCH(".",F162))),"Valid","Invalid"))</x:f>
        <x:v>Valid</x:v>
      </x:c>
      <x:c r="S162" s="506" t="n">
        <x:f>IF(K162="Yes",1,0)+IF(L162="Yes",1,0)+IF(M162&lt;&gt;"Clean",1,0)+IF(O162&lt;&gt;"Confirmed",1,0)+IF(P162&lt;&gt;"Validated",1,0)+IF(Q162="Yes",1,0)+IF(R162&lt;&gt;"Valid",1,0)</x:f>
        <x:v>0</x:v>
      </x:c>
      <x:c r="T162" s="517" t="n">
        <x:f>MAX(0,1-S162/7)</x:f>
        <x:v>1</x:v>
      </x:c>
      <x:c r="U162" s="506" t="str">
        <x:f>IF(AND(K162="No",L162="No",M162="Clean",O162="Confirmed",P162="Validated",Q162="No",R162="Valid"),"Ready","Hold")</x:f>
        <x:v>Ready</x:v>
      </x:c>
      <x:c r="V162" s="507" t="str">
        <x:f>IF(U162="Ready","No action",IF(K162="Yes","Resolve duplicate and confirm surviving record",IF(L162="Yes","Populate and validate email","Complete remediation and validation")))</x:f>
        <x:v>No action</x:v>
      </x:c>
    </x:row>
    <x:row r="163">
      <x:c r="A163" s="505" t="n">
        <x:v>1163</x:v>
      </x:c>
      <x:c r="B163" s="506" t="str">
        <x:v>Emp163</x:v>
      </x:c>
      <x:c r="C163" s="506" t="str">
        <x:v>User163</x:v>
      </x:c>
      <x:c r="D163" s="506" t="str">
        <x:v>France</x:v>
      </x:c>
      <x:c r="E163" s="506" t="str">
        <x:v>Marketing</x:v>
      </x:c>
      <x:c r="F163" s="506" t="str">
        <x:v>emp163@company.com</x:v>
      </x:c>
      <x:c r="G163" s="506" t="str">
        <x:v>emp163</x:v>
      </x:c>
      <x:c r="H163" s="506" t="str">
        <x:v>BHR163</x:v>
      </x:c>
      <x:c r="I163" s="506" t="str">
        <x:v>MAC163</x:v>
      </x:c>
      <x:c r="J163" s="506" t="str">
        <x:v>XY163</x:v>
      </x:c>
      <x:c r="K163" s="506" t="str">
        <x:v>No</x:v>
      </x:c>
      <x:c r="L163" s="506" t="str">
        <x:v>No</x:v>
      </x:c>
      <x:c r="M163" s="506" t="str">
        <x:v>Clean</x:v>
      </x:c>
      <x:c r="N163" s="506" t="str">
        <x:v>Active Directory</x:v>
      </x:c>
      <x:c r="O163" s="506" t="str">
        <x:v>Confirmed</x:v>
      </x:c>
      <x:c r="P163" s="506" t="str">
        <x:v>Validated</x:v>
      </x:c>
      <x:c r="Q163" s="506" t="str">
        <x:f>IF(OR(COUNTIF($A$2:$A$201,A163)&gt;1,COUNTIF($G$2:$G$201,G163)&gt;1,AND(F163&lt;&gt;"",COUNTIF($F$2:$F$201,F163)&gt;1),COUNTIF($H$2:$H$201,H163)&gt;1,COUNTIF($I$2:$I$201,I163)&gt;1,COUNTIF($J$2:$J$201,J163)&gt;1),"Yes","No")</x:f>
        <x:v>No</x:v>
      </x:c>
      <x:c r="R163" s="506" t="str">
        <x:f>IF(F163="","Missing",IF(AND(ISNUMBER(SEARCH("@",F163)),ISNUMBER(SEARCH(".",F163))),"Valid","Invalid"))</x:f>
        <x:v>Valid</x:v>
      </x:c>
      <x:c r="S163" s="506" t="n">
        <x:f>IF(K163="Yes",1,0)+IF(L163="Yes",1,0)+IF(M163&lt;&gt;"Clean",1,0)+IF(O163&lt;&gt;"Confirmed",1,0)+IF(P163&lt;&gt;"Validated",1,0)+IF(Q163="Yes",1,0)+IF(R163&lt;&gt;"Valid",1,0)</x:f>
        <x:v>0</x:v>
      </x:c>
      <x:c r="T163" s="517" t="n">
        <x:f>MAX(0,1-S163/7)</x:f>
        <x:v>1</x:v>
      </x:c>
      <x:c r="U163" s="506" t="str">
        <x:f>IF(AND(K163="No",L163="No",M163="Clean",O163="Confirmed",P163="Validated",Q163="No",R163="Valid"),"Ready","Hold")</x:f>
        <x:v>Ready</x:v>
      </x:c>
      <x:c r="V163" s="507" t="str">
        <x:f>IF(U163="Ready","No action",IF(K163="Yes","Resolve duplicate and confirm surviving record",IF(L163="Yes","Populate and validate email","Complete remediation and validation")))</x:f>
        <x:v>No action</x:v>
      </x:c>
    </x:row>
    <x:row r="164">
      <x:c r="A164" s="505" t="n">
        <x:v>1164</x:v>
      </x:c>
      <x:c r="B164" s="506" t="str">
        <x:v>Emp164</x:v>
      </x:c>
      <x:c r="C164" s="506" t="str">
        <x:v>User164</x:v>
      </x:c>
      <x:c r="D164" s="506" t="str">
        <x:v>Nigeria</x:v>
      </x:c>
      <x:c r="E164" s="506" t="str">
        <x:v>HR</x:v>
      </x:c>
      <x:c r="F164" s="506" t="str">
        <x:v>emp164@company.com</x:v>
      </x:c>
      <x:c r="G164" s="506" t="str">
        <x:v>emp164</x:v>
      </x:c>
      <x:c r="H164" s="506" t="str">
        <x:v>BHR164</x:v>
      </x:c>
      <x:c r="I164" s="506" t="str">
        <x:v>MAC164</x:v>
      </x:c>
      <x:c r="J164" s="506" t="str">
        <x:v>XY164</x:v>
      </x:c>
      <x:c r="K164" s="506" t="str">
        <x:v>No</x:v>
      </x:c>
      <x:c r="L164" s="506" t="str">
        <x:v>No</x:v>
      </x:c>
      <x:c r="M164" s="506" t="str">
        <x:v>Clean</x:v>
      </x:c>
      <x:c r="N164" s="506" t="str">
        <x:v>Maconomy</x:v>
      </x:c>
      <x:c r="O164" s="506" t="str">
        <x:v>Confirmed</x:v>
      </x:c>
      <x:c r="P164" s="506" t="str">
        <x:v>Validated</x:v>
      </x:c>
      <x:c r="Q164" s="506" t="str">
        <x:f>IF(OR(COUNTIF($A$2:$A$201,A164)&gt;1,COUNTIF($G$2:$G$201,G164)&gt;1,AND(F164&lt;&gt;"",COUNTIF($F$2:$F$201,F164)&gt;1),COUNTIF($H$2:$H$201,H164)&gt;1,COUNTIF($I$2:$I$201,I164)&gt;1,COUNTIF($J$2:$J$201,J164)&gt;1),"Yes","No")</x:f>
        <x:v>No</x:v>
      </x:c>
      <x:c r="R164" s="506" t="str">
        <x:f>IF(F164="","Missing",IF(AND(ISNUMBER(SEARCH("@",F164)),ISNUMBER(SEARCH(".",F164))),"Valid","Invalid"))</x:f>
        <x:v>Valid</x:v>
      </x:c>
      <x:c r="S164" s="506" t="n">
        <x:f>IF(K164="Yes",1,0)+IF(L164="Yes",1,0)+IF(M164&lt;&gt;"Clean",1,0)+IF(O164&lt;&gt;"Confirmed",1,0)+IF(P164&lt;&gt;"Validated",1,0)+IF(Q164="Yes",1,0)+IF(R164&lt;&gt;"Valid",1,0)</x:f>
        <x:v>0</x:v>
      </x:c>
      <x:c r="T164" s="517" t="n">
        <x:f>MAX(0,1-S164/7)</x:f>
        <x:v>1</x:v>
      </x:c>
      <x:c r="U164" s="506" t="str">
        <x:f>IF(AND(K164="No",L164="No",M164="Clean",O164="Confirmed",P164="Validated",Q164="No",R164="Valid"),"Ready","Hold")</x:f>
        <x:v>Ready</x:v>
      </x:c>
      <x:c r="V164" s="507" t="str">
        <x:f>IF(U164="Ready","No action",IF(K164="Yes","Resolve duplicate and confirm surviving record",IF(L164="Yes","Populate and validate email","Complete remediation and validation")))</x:f>
        <x:v>No action</x:v>
      </x:c>
    </x:row>
    <x:row r="165">
      <x:c r="A165" s="505" t="n">
        <x:v>1165</x:v>
      </x:c>
      <x:c r="B165" s="506" t="str">
        <x:v>Emp165</x:v>
      </x:c>
      <x:c r="C165" s="506" t="str">
        <x:v>User165</x:v>
      </x:c>
      <x:c r="D165" s="506" t="str">
        <x:v>Gambia</x:v>
      </x:c>
      <x:c r="E165" s="506" t="str">
        <x:v>Finance</x:v>
      </x:c>
      <x:c r="F165" s="506" t="str">
        <x:v>emp165@company.com</x:v>
      </x:c>
      <x:c r="G165" s="506" t="str">
        <x:v>emp165</x:v>
      </x:c>
      <x:c r="H165" s="506" t="str">
        <x:v>BHR165</x:v>
      </x:c>
      <x:c r="I165" s="506" t="str">
        <x:v>MAC165</x:v>
      </x:c>
      <x:c r="J165" s="506" t="str">
        <x:v>XY165</x:v>
      </x:c>
      <x:c r="K165" s="506" t="str">
        <x:v>No</x:v>
      </x:c>
      <x:c r="L165" s="506" t="str">
        <x:v>No</x:v>
      </x:c>
      <x:c r="M165" s="506" t="str">
        <x:v>Clean</x:v>
      </x:c>
      <x:c r="N165" s="506" t="str">
        <x:v>Xytech</x:v>
      </x:c>
      <x:c r="O165" s="506" t="str">
        <x:v>Confirmed</x:v>
      </x:c>
      <x:c r="P165" s="506" t="str">
        <x:v>Validated</x:v>
      </x:c>
      <x:c r="Q165" s="506" t="str">
        <x:f>IF(OR(COUNTIF($A$2:$A$201,A165)&gt;1,COUNTIF($G$2:$G$201,G165)&gt;1,AND(F165&lt;&gt;"",COUNTIF($F$2:$F$201,F165)&gt;1),COUNTIF($H$2:$H$201,H165)&gt;1,COUNTIF($I$2:$I$201,I165)&gt;1,COUNTIF($J$2:$J$201,J165)&gt;1),"Yes","No")</x:f>
        <x:v>No</x:v>
      </x:c>
      <x:c r="R165" s="506" t="str">
        <x:f>IF(F165="","Missing",IF(AND(ISNUMBER(SEARCH("@",F165)),ISNUMBER(SEARCH(".",F165))),"Valid","Invalid"))</x:f>
        <x:v>Valid</x:v>
      </x:c>
      <x:c r="S165" s="506" t="n">
        <x:f>IF(K165="Yes",1,0)+IF(L165="Yes",1,0)+IF(M165&lt;&gt;"Clean",1,0)+IF(O165&lt;&gt;"Confirmed",1,0)+IF(P165&lt;&gt;"Validated",1,0)+IF(Q165="Yes",1,0)+IF(R165&lt;&gt;"Valid",1,0)</x:f>
        <x:v>0</x:v>
      </x:c>
      <x:c r="T165" s="517" t="n">
        <x:f>MAX(0,1-S165/7)</x:f>
        <x:v>1</x:v>
      </x:c>
      <x:c r="U165" s="506" t="str">
        <x:f>IF(AND(K165="No",L165="No",M165="Clean",O165="Confirmed",P165="Validated",Q165="No",R165="Valid"),"Ready","Hold")</x:f>
        <x:v>Ready</x:v>
      </x:c>
      <x:c r="V165" s="507" t="str">
        <x:f>IF(U165="Ready","No action",IF(K165="Yes","Resolve duplicate and confirm surviving record",IF(L165="Yes","Populate and validate email","Complete remediation and validation")))</x:f>
        <x:v>No action</x:v>
      </x:c>
    </x:row>
    <x:row r="166">
      <x:c r="A166" s="505" t="n">
        <x:v>1166</x:v>
      </x:c>
      <x:c r="B166" s="506" t="str">
        <x:v>Emp166</x:v>
      </x:c>
      <x:c r="C166" s="506" t="str">
        <x:v>User166</x:v>
      </x:c>
      <x:c r="D166" s="506" t="str">
        <x:v>Spain</x:v>
      </x:c>
      <x:c r="E166" s="506" t="str">
        <x:v>IT</x:v>
      </x:c>
      <x:c r="F166" s="506" t="str">
        <x:v>emp166@company.com</x:v>
      </x:c>
      <x:c r="G166" s="506" t="str">
        <x:v>emp166</x:v>
      </x:c>
      <x:c r="H166" s="506" t="str">
        <x:v>BHR166</x:v>
      </x:c>
      <x:c r="I166" s="506" t="str">
        <x:v>MAC166</x:v>
      </x:c>
      <x:c r="J166" s="506" t="str">
        <x:v>XY166</x:v>
      </x:c>
      <x:c r="K166" s="506" t="str">
        <x:v>No</x:v>
      </x:c>
      <x:c r="L166" s="506" t="str">
        <x:v>No</x:v>
      </x:c>
      <x:c r="M166" s="506" t="str">
        <x:v>Clean</x:v>
      </x:c>
      <x:c r="N166" s="506" t="str">
        <x:v>BambooHR</x:v>
      </x:c>
      <x:c r="O166" s="506" t="str">
        <x:v>Confirmed</x:v>
      </x:c>
      <x:c r="P166" s="506" t="str">
        <x:v>Validated</x:v>
      </x:c>
      <x:c r="Q166" s="506" t="str">
        <x:f>IF(OR(COUNTIF($A$2:$A$201,A166)&gt;1,COUNTIF($G$2:$G$201,G166)&gt;1,AND(F166&lt;&gt;"",COUNTIF($F$2:$F$201,F166)&gt;1),COUNTIF($H$2:$H$201,H166)&gt;1,COUNTIF($I$2:$I$201,I166)&gt;1,COUNTIF($J$2:$J$201,J166)&gt;1),"Yes","No")</x:f>
        <x:v>No</x:v>
      </x:c>
      <x:c r="R166" s="506" t="str">
        <x:f>IF(F166="","Missing",IF(AND(ISNUMBER(SEARCH("@",F166)),ISNUMBER(SEARCH(".",F166))),"Valid","Invalid"))</x:f>
        <x:v>Valid</x:v>
      </x:c>
      <x:c r="S166" s="506" t="n">
        <x:f>IF(K166="Yes",1,0)+IF(L166="Yes",1,0)+IF(M166&lt;&gt;"Clean",1,0)+IF(O166&lt;&gt;"Confirmed",1,0)+IF(P166&lt;&gt;"Validated",1,0)+IF(Q166="Yes",1,0)+IF(R166&lt;&gt;"Valid",1,0)</x:f>
        <x:v>0</x:v>
      </x:c>
      <x:c r="T166" s="517" t="n">
        <x:f>MAX(0,1-S166/7)</x:f>
        <x:v>1</x:v>
      </x:c>
      <x:c r="U166" s="506" t="str">
        <x:f>IF(AND(K166="No",L166="No",M166="Clean",O166="Confirmed",P166="Validated",Q166="No",R166="Valid"),"Ready","Hold")</x:f>
        <x:v>Ready</x:v>
      </x:c>
      <x:c r="V166" s="507" t="str">
        <x:f>IF(U166="Ready","No action",IF(K166="Yes","Resolve duplicate and confirm surviving record",IF(L166="Yes","Populate and validate email","Complete remediation and validation")))</x:f>
        <x:v>No action</x:v>
      </x:c>
    </x:row>
    <x:row r="167">
      <x:c r="A167" s="505" t="n">
        <x:v>1167</x:v>
      </x:c>
      <x:c r="B167" s="506" t="str">
        <x:v>Emp167</x:v>
      </x:c>
      <x:c r="C167" s="506" t="str">
        <x:v>User167</x:v>
      </x:c>
      <x:c r="D167" s="506" t="str">
        <x:v>Netherlands</x:v>
      </x:c>
      <x:c r="E167" s="506" t="str">
        <x:v>Operations</x:v>
      </x:c>
      <x:c r="F167" s="506" t="str">
        <x:v>emp167@company.com</x:v>
      </x:c>
      <x:c r="G167" s="506" t="str">
        <x:v>emp167</x:v>
      </x:c>
      <x:c r="H167" s="506" t="str">
        <x:v>BHR167</x:v>
      </x:c>
      <x:c r="I167" s="506" t="str">
        <x:v>MAC167</x:v>
      </x:c>
      <x:c r="J167" s="506" t="str">
        <x:v>XY167</x:v>
      </x:c>
      <x:c r="K167" s="506" t="str">
        <x:v>No</x:v>
      </x:c>
      <x:c r="L167" s="506" t="str">
        <x:v>No</x:v>
      </x:c>
      <x:c r="M167" s="506" t="str">
        <x:v>Clean</x:v>
      </x:c>
      <x:c r="N167" s="506" t="str">
        <x:v>Active Directory</x:v>
      </x:c>
      <x:c r="O167" s="506" t="str">
        <x:v>Confirmed</x:v>
      </x:c>
      <x:c r="P167" s="506" t="str">
        <x:v>Validated</x:v>
      </x:c>
      <x:c r="Q167" s="506" t="str">
        <x:f>IF(OR(COUNTIF($A$2:$A$201,A167)&gt;1,COUNTIF($G$2:$G$201,G167)&gt;1,AND(F167&lt;&gt;"",COUNTIF($F$2:$F$201,F167)&gt;1),COUNTIF($H$2:$H$201,H167)&gt;1,COUNTIF($I$2:$I$201,I167)&gt;1,COUNTIF($J$2:$J$201,J167)&gt;1),"Yes","No")</x:f>
        <x:v>No</x:v>
      </x:c>
      <x:c r="R167" s="506" t="str">
        <x:f>IF(F167="","Missing",IF(AND(ISNUMBER(SEARCH("@",F167)),ISNUMBER(SEARCH(".",F167))),"Valid","Invalid"))</x:f>
        <x:v>Valid</x:v>
      </x:c>
      <x:c r="S167" s="506" t="n">
        <x:f>IF(K167="Yes",1,0)+IF(L167="Yes",1,0)+IF(M167&lt;&gt;"Clean",1,0)+IF(O167&lt;&gt;"Confirmed",1,0)+IF(P167&lt;&gt;"Validated",1,0)+IF(Q167="Yes",1,0)+IF(R167&lt;&gt;"Valid",1,0)</x:f>
        <x:v>0</x:v>
      </x:c>
      <x:c r="T167" s="517" t="n">
        <x:f>MAX(0,1-S167/7)</x:f>
        <x:v>1</x:v>
      </x:c>
      <x:c r="U167" s="506" t="str">
        <x:f>IF(AND(K167="No",L167="No",M167="Clean",O167="Confirmed",P167="Validated",Q167="No",R167="Valid"),"Ready","Hold")</x:f>
        <x:v>Ready</x:v>
      </x:c>
      <x:c r="V167" s="507" t="str">
        <x:f>IF(U167="Ready","No action",IF(K167="Yes","Resolve duplicate and confirm surviving record",IF(L167="Yes","Populate and validate email","Complete remediation and validation")))</x:f>
        <x:v>No action</x:v>
      </x:c>
    </x:row>
    <x:row r="168">
      <x:c r="A168" s="505" t="n">
        <x:v>1168</x:v>
      </x:c>
      <x:c r="B168" s="506" t="str">
        <x:v>Emp168</x:v>
      </x:c>
      <x:c r="C168" s="506" t="str">
        <x:v>User168</x:v>
      </x:c>
      <x:c r="D168" s="506" t="str">
        <x:v>Singapore</x:v>
      </x:c>
      <x:c r="E168" s="506" t="str">
        <x:v>Sales</x:v>
      </x:c>
      <x:c r="F168" s="506" t="str">
        <x:v>emp168@company.com</x:v>
      </x:c>
      <x:c r="G168" s="506" t="str">
        <x:v>emp168</x:v>
      </x:c>
      <x:c r="H168" s="506" t="str">
        <x:v>BHR168</x:v>
      </x:c>
      <x:c r="I168" s="506" t="str">
        <x:v>MAC168</x:v>
      </x:c>
      <x:c r="J168" s="506" t="str">
        <x:v>XY168</x:v>
      </x:c>
      <x:c r="K168" s="506" t="str">
        <x:v>No</x:v>
      </x:c>
      <x:c r="L168" s="506" t="str">
        <x:v>No</x:v>
      </x:c>
      <x:c r="M168" s="506" t="str">
        <x:v>Clean</x:v>
      </x:c>
      <x:c r="N168" s="506" t="str">
        <x:v>Maconomy</x:v>
      </x:c>
      <x:c r="O168" s="506" t="str">
        <x:v>Confirmed</x:v>
      </x:c>
      <x:c r="P168" s="506" t="str">
        <x:v>Validated</x:v>
      </x:c>
      <x:c r="Q168" s="506" t="str">
        <x:f>IF(OR(COUNTIF($A$2:$A$201,A168)&gt;1,COUNTIF($G$2:$G$201,G168)&gt;1,AND(F168&lt;&gt;"",COUNTIF($F$2:$F$201,F168)&gt;1),COUNTIF($H$2:$H$201,H168)&gt;1,COUNTIF($I$2:$I$201,I168)&gt;1,COUNTIF($J$2:$J$201,J168)&gt;1),"Yes","No")</x:f>
        <x:v>No</x:v>
      </x:c>
      <x:c r="R168" s="506" t="str">
        <x:f>IF(F168="","Missing",IF(AND(ISNUMBER(SEARCH("@",F168)),ISNUMBER(SEARCH(".",F168))),"Valid","Invalid"))</x:f>
        <x:v>Valid</x:v>
      </x:c>
      <x:c r="S168" s="506" t="n">
        <x:f>IF(K168="Yes",1,0)+IF(L168="Yes",1,0)+IF(M168&lt;&gt;"Clean",1,0)+IF(O168&lt;&gt;"Confirmed",1,0)+IF(P168&lt;&gt;"Validated",1,0)+IF(Q168="Yes",1,0)+IF(R168&lt;&gt;"Valid",1,0)</x:f>
        <x:v>0</x:v>
      </x:c>
      <x:c r="T168" s="517" t="n">
        <x:f>MAX(0,1-S168/7)</x:f>
        <x:v>1</x:v>
      </x:c>
      <x:c r="U168" s="506" t="str">
        <x:f>IF(AND(K168="No",L168="No",M168="Clean",O168="Confirmed",P168="Validated",Q168="No",R168="Valid"),"Ready","Hold")</x:f>
        <x:v>Ready</x:v>
      </x:c>
      <x:c r="V168" s="507" t="str">
        <x:f>IF(U168="Ready","No action",IF(K168="Yes","Resolve duplicate and confirm surviving record",IF(L168="Yes","Populate and validate email","Complete remediation and validation")))</x:f>
        <x:v>No action</x:v>
      </x:c>
    </x:row>
    <x:row r="169">
      <x:c r="A169" s="505" t="n">
        <x:v>1169</x:v>
      </x:c>
      <x:c r="B169" s="506" t="str">
        <x:v>Emp169</x:v>
      </x:c>
      <x:c r="C169" s="506" t="str">
        <x:v>User169</x:v>
      </x:c>
      <x:c r="D169" s="506" t="str">
        <x:v>Brazil</x:v>
      </x:c>
      <x:c r="E169" s="506" t="str">
        <x:v>Marketing</x:v>
      </x:c>
      <x:c r="F169" s="506" t="str">
        <x:v>emp169@company.com</x:v>
      </x:c>
      <x:c r="G169" s="506" t="str">
        <x:v>emp169</x:v>
      </x:c>
      <x:c r="H169" s="506" t="str">
        <x:v>BHR169</x:v>
      </x:c>
      <x:c r="I169" s="506" t="str">
        <x:v>MAC169</x:v>
      </x:c>
      <x:c r="J169" s="506" t="str">
        <x:v>XY169</x:v>
      </x:c>
      <x:c r="K169" s="506" t="str">
        <x:v>No</x:v>
      </x:c>
      <x:c r="L169" s="506" t="str">
        <x:v>No</x:v>
      </x:c>
      <x:c r="M169" s="506" t="str">
        <x:v>Clean</x:v>
      </x:c>
      <x:c r="N169" s="506" t="str">
        <x:v>Xytech</x:v>
      </x:c>
      <x:c r="O169" s="506" t="str">
        <x:v>Confirmed</x:v>
      </x:c>
      <x:c r="P169" s="506" t="str">
        <x:v>Validated</x:v>
      </x:c>
      <x:c r="Q169" s="506" t="str">
        <x:f>IF(OR(COUNTIF($A$2:$A$201,A169)&gt;1,COUNTIF($G$2:$G$201,G169)&gt;1,AND(F169&lt;&gt;"",COUNTIF($F$2:$F$201,F169)&gt;1),COUNTIF($H$2:$H$201,H169)&gt;1,COUNTIF($I$2:$I$201,I169)&gt;1,COUNTIF($J$2:$J$201,J169)&gt;1),"Yes","No")</x:f>
        <x:v>No</x:v>
      </x:c>
      <x:c r="R169" s="506" t="str">
        <x:f>IF(F169="","Missing",IF(AND(ISNUMBER(SEARCH("@",F169)),ISNUMBER(SEARCH(".",F169))),"Valid","Invalid"))</x:f>
        <x:v>Valid</x:v>
      </x:c>
      <x:c r="S169" s="506" t="n">
        <x:f>IF(K169="Yes",1,0)+IF(L169="Yes",1,0)+IF(M169&lt;&gt;"Clean",1,0)+IF(O169&lt;&gt;"Confirmed",1,0)+IF(P169&lt;&gt;"Validated",1,0)+IF(Q169="Yes",1,0)+IF(R169&lt;&gt;"Valid",1,0)</x:f>
        <x:v>0</x:v>
      </x:c>
      <x:c r="T169" s="517" t="n">
        <x:f>MAX(0,1-S169/7)</x:f>
        <x:v>1</x:v>
      </x:c>
      <x:c r="U169" s="506" t="str">
        <x:f>IF(AND(K169="No",L169="No",M169="Clean",O169="Confirmed",P169="Validated",Q169="No",R169="Valid"),"Ready","Hold")</x:f>
        <x:v>Ready</x:v>
      </x:c>
      <x:c r="V169" s="507" t="str">
        <x:f>IF(U169="Ready","No action",IF(K169="Yes","Resolve duplicate and confirm surviving record",IF(L169="Yes","Populate and validate email","Complete remediation and validation")))</x:f>
        <x:v>No action</x:v>
      </x:c>
    </x:row>
    <x:row r="170">
      <x:c r="A170" s="505" t="n">
        <x:v>1170</x:v>
      </x:c>
      <x:c r="B170" s="506" t="str">
        <x:v>Emp170</x:v>
      </x:c>
      <x:c r="C170" s="506" t="str">
        <x:v>User170</x:v>
      </x:c>
      <x:c r="D170" s="506" t="str">
        <x:v>UK</x:v>
      </x:c>
      <x:c r="E170" s="506" t="str">
        <x:v>HR</x:v>
      </x:c>
      <x:c r="F170" s="506" t="str">
        <x:v>emp170@company.com</x:v>
      </x:c>
      <x:c r="G170" s="506" t="str">
        <x:v>emp170</x:v>
      </x:c>
      <x:c r="H170" s="506" t="str">
        <x:v>BHR170</x:v>
      </x:c>
      <x:c r="I170" s="506" t="str">
        <x:v>MAC170</x:v>
      </x:c>
      <x:c r="J170" s="506" t="str">
        <x:v>XY170</x:v>
      </x:c>
      <x:c r="K170" s="506" t="str">
        <x:v>No</x:v>
      </x:c>
      <x:c r="L170" s="506" t="str">
        <x:v>No</x:v>
      </x:c>
      <x:c r="M170" s="506" t="str">
        <x:v>Clean</x:v>
      </x:c>
      <x:c r="N170" s="506" t="str">
        <x:v>BambooHR</x:v>
      </x:c>
      <x:c r="O170" s="506" t="str">
        <x:v>Confirmed</x:v>
      </x:c>
      <x:c r="P170" s="506" t="str">
        <x:v>Validated</x:v>
      </x:c>
      <x:c r="Q170" s="506" t="str">
        <x:f>IF(OR(COUNTIF($A$2:$A$201,A170)&gt;1,COUNTIF($G$2:$G$201,G170)&gt;1,AND(F170&lt;&gt;"",COUNTIF($F$2:$F$201,F170)&gt;1),COUNTIF($H$2:$H$201,H170)&gt;1,COUNTIF($I$2:$I$201,I170)&gt;1,COUNTIF($J$2:$J$201,J170)&gt;1),"Yes","No")</x:f>
        <x:v>No</x:v>
      </x:c>
      <x:c r="R170" s="506" t="str">
        <x:f>IF(F170="","Missing",IF(AND(ISNUMBER(SEARCH("@",F170)),ISNUMBER(SEARCH(".",F170))),"Valid","Invalid"))</x:f>
        <x:v>Valid</x:v>
      </x:c>
      <x:c r="S170" s="506" t="n">
        <x:f>IF(K170="Yes",1,0)+IF(L170="Yes",1,0)+IF(M170&lt;&gt;"Clean",1,0)+IF(O170&lt;&gt;"Confirmed",1,0)+IF(P170&lt;&gt;"Validated",1,0)+IF(Q170="Yes",1,0)+IF(R170&lt;&gt;"Valid",1,0)</x:f>
        <x:v>0</x:v>
      </x:c>
      <x:c r="T170" s="517" t="n">
        <x:f>MAX(0,1-S170/7)</x:f>
        <x:v>1</x:v>
      </x:c>
      <x:c r="U170" s="506" t="str">
        <x:f>IF(AND(K170="No",L170="No",M170="Clean",O170="Confirmed",P170="Validated",Q170="No",R170="Valid"),"Ready","Hold")</x:f>
        <x:v>Ready</x:v>
      </x:c>
      <x:c r="V170" s="507" t="str">
        <x:f>IF(U170="Ready","No action",IF(K170="Yes","Resolve duplicate and confirm surviving record",IF(L170="Yes","Populate and validate email","Complete remediation and validation")))</x:f>
        <x:v>No action</x:v>
      </x:c>
    </x:row>
    <x:row r="171">
      <x:c r="A171" s="505" t="n">
        <x:v>1171</x:v>
      </x:c>
      <x:c r="B171" s="506" t="str">
        <x:v>Emp171</x:v>
      </x:c>
      <x:c r="C171" s="506" t="str">
        <x:v>User171</x:v>
      </x:c>
      <x:c r="D171" s="506" t="str">
        <x:v>USA</x:v>
      </x:c>
      <x:c r="E171" s="506" t="str">
        <x:v>Finance</x:v>
      </x:c>
      <x:c r="F171" s="506" t="str">
        <x:v>emp171@company.com</x:v>
      </x:c>
      <x:c r="G171" s="506" t="str">
        <x:v>emp171</x:v>
      </x:c>
      <x:c r="H171" s="506" t="str">
        <x:v>BHR171</x:v>
      </x:c>
      <x:c r="I171" s="506" t="str">
        <x:v>MAC171</x:v>
      </x:c>
      <x:c r="J171" s="506" t="str">
        <x:v>XY171</x:v>
      </x:c>
      <x:c r="K171" s="506" t="str">
        <x:v>No</x:v>
      </x:c>
      <x:c r="L171" s="506" t="str">
        <x:v>No</x:v>
      </x:c>
      <x:c r="M171" s="506" t="str">
        <x:v>Clean</x:v>
      </x:c>
      <x:c r="N171" s="506" t="str">
        <x:v>Active Directory</x:v>
      </x:c>
      <x:c r="O171" s="506" t="str">
        <x:v>Confirmed</x:v>
      </x:c>
      <x:c r="P171" s="506" t="str">
        <x:v>Validated</x:v>
      </x:c>
      <x:c r="Q171" s="506" t="str">
        <x:f>IF(OR(COUNTIF($A$2:$A$201,A171)&gt;1,COUNTIF($G$2:$G$201,G171)&gt;1,AND(F171&lt;&gt;"",COUNTIF($F$2:$F$201,F171)&gt;1),COUNTIF($H$2:$H$201,H171)&gt;1,COUNTIF($I$2:$I$201,I171)&gt;1,COUNTIF($J$2:$J$201,J171)&gt;1),"Yes","No")</x:f>
        <x:v>No</x:v>
      </x:c>
      <x:c r="R171" s="506" t="str">
        <x:f>IF(F171="","Missing",IF(AND(ISNUMBER(SEARCH("@",F171)),ISNUMBER(SEARCH(".",F171))),"Valid","Invalid"))</x:f>
        <x:v>Valid</x:v>
      </x:c>
      <x:c r="S171" s="506" t="n">
        <x:f>IF(K171="Yes",1,0)+IF(L171="Yes",1,0)+IF(M171&lt;&gt;"Clean",1,0)+IF(O171&lt;&gt;"Confirmed",1,0)+IF(P171&lt;&gt;"Validated",1,0)+IF(Q171="Yes",1,0)+IF(R171&lt;&gt;"Valid",1,0)</x:f>
        <x:v>0</x:v>
      </x:c>
      <x:c r="T171" s="517" t="n">
        <x:f>MAX(0,1-S171/7)</x:f>
        <x:v>1</x:v>
      </x:c>
      <x:c r="U171" s="506" t="str">
        <x:f>IF(AND(K171="No",L171="No",M171="Clean",O171="Confirmed",P171="Validated",Q171="No",R171="Valid"),"Ready","Hold")</x:f>
        <x:v>Ready</x:v>
      </x:c>
      <x:c r="V171" s="507" t="str">
        <x:f>IF(U171="Ready","No action",IF(K171="Yes","Resolve duplicate and confirm surviving record",IF(L171="Yes","Populate and validate email","Complete remediation and validation")))</x:f>
        <x:v>No action</x:v>
      </x:c>
    </x:row>
    <x:row r="172">
      <x:c r="A172" s="505" t="n">
        <x:v>1172</x:v>
      </x:c>
      <x:c r="B172" s="506" t="str">
        <x:v>Emp172</x:v>
      </x:c>
      <x:c r="C172" s="506" t="str">
        <x:v>User172</x:v>
      </x:c>
      <x:c r="D172" s="506" t="str">
        <x:v>Canada</x:v>
      </x:c>
      <x:c r="E172" s="506" t="str">
        <x:v>IT</x:v>
      </x:c>
      <x:c r="F172" s="506" t="str">
        <x:v>emp172@company.com</x:v>
      </x:c>
      <x:c r="G172" s="506" t="str">
        <x:v>emp172</x:v>
      </x:c>
      <x:c r="H172" s="506" t="str">
        <x:v>BHR172</x:v>
      </x:c>
      <x:c r="I172" s="506" t="str">
        <x:v>MAC172</x:v>
      </x:c>
      <x:c r="J172" s="506" t="str">
        <x:v>XY172</x:v>
      </x:c>
      <x:c r="K172" s="506" t="str">
        <x:v>No</x:v>
      </x:c>
      <x:c r="L172" s="506" t="str">
        <x:v>No</x:v>
      </x:c>
      <x:c r="M172" s="506" t="str">
        <x:v>Clean</x:v>
      </x:c>
      <x:c r="N172" s="506" t="str">
        <x:v>Maconomy</x:v>
      </x:c>
      <x:c r="O172" s="506" t="str">
        <x:v>Confirmed</x:v>
      </x:c>
      <x:c r="P172" s="506" t="str">
        <x:v>Validated</x:v>
      </x:c>
      <x:c r="Q172" s="506" t="str">
        <x:f>IF(OR(COUNTIF($A$2:$A$201,A172)&gt;1,COUNTIF($G$2:$G$201,G172)&gt;1,AND(F172&lt;&gt;"",COUNTIF($F$2:$F$201,F172)&gt;1),COUNTIF($H$2:$H$201,H172)&gt;1,COUNTIF($I$2:$I$201,I172)&gt;1,COUNTIF($J$2:$J$201,J172)&gt;1),"Yes","No")</x:f>
        <x:v>No</x:v>
      </x:c>
      <x:c r="R172" s="506" t="str">
        <x:f>IF(F172="","Missing",IF(AND(ISNUMBER(SEARCH("@",F172)),ISNUMBER(SEARCH(".",F172))),"Valid","Invalid"))</x:f>
        <x:v>Valid</x:v>
      </x:c>
      <x:c r="S172" s="506" t="n">
        <x:f>IF(K172="Yes",1,0)+IF(L172="Yes",1,0)+IF(M172&lt;&gt;"Clean",1,0)+IF(O172&lt;&gt;"Confirmed",1,0)+IF(P172&lt;&gt;"Validated",1,0)+IF(Q172="Yes",1,0)+IF(R172&lt;&gt;"Valid",1,0)</x:f>
        <x:v>0</x:v>
      </x:c>
      <x:c r="T172" s="517" t="n">
        <x:f>MAX(0,1-S172/7)</x:f>
        <x:v>1</x:v>
      </x:c>
      <x:c r="U172" s="506" t="str">
        <x:f>IF(AND(K172="No",L172="No",M172="Clean",O172="Confirmed",P172="Validated",Q172="No",R172="Valid"),"Ready","Hold")</x:f>
        <x:v>Ready</x:v>
      </x:c>
      <x:c r="V172" s="507" t="str">
        <x:f>IF(U172="Ready","No action",IF(K172="Yes","Resolve duplicate and confirm surviving record",IF(L172="Yes","Populate and validate email","Complete remediation and validation")))</x:f>
        <x:v>No action</x:v>
      </x:c>
    </x:row>
    <x:row r="173">
      <x:c r="A173" s="505" t="n">
        <x:v>1173</x:v>
      </x:c>
      <x:c r="B173" s="506" t="str">
        <x:v>Emp173</x:v>
      </x:c>
      <x:c r="C173" s="506" t="str">
        <x:v>User173</x:v>
      </x:c>
      <x:c r="D173" s="506" t="str">
        <x:v>Germany</x:v>
      </x:c>
      <x:c r="E173" s="506" t="str">
        <x:v>Operations</x:v>
      </x:c>
      <x:c r="F173" s="506" t="str">
        <x:v>emp173@company.com</x:v>
      </x:c>
      <x:c r="G173" s="506" t="str">
        <x:v>emp173</x:v>
      </x:c>
      <x:c r="H173" s="506" t="str">
        <x:v>BHR173</x:v>
      </x:c>
      <x:c r="I173" s="506" t="str">
        <x:v>MAC173</x:v>
      </x:c>
      <x:c r="J173" s="506" t="str">
        <x:v>XY173</x:v>
      </x:c>
      <x:c r="K173" s="506" t="str">
        <x:v>No</x:v>
      </x:c>
      <x:c r="L173" s="506" t="str">
        <x:v>No</x:v>
      </x:c>
      <x:c r="M173" s="506" t="str">
        <x:v>Clean</x:v>
      </x:c>
      <x:c r="N173" s="506" t="str">
        <x:v>Xytech</x:v>
      </x:c>
      <x:c r="O173" s="506" t="str">
        <x:v>Confirmed</x:v>
      </x:c>
      <x:c r="P173" s="506" t="str">
        <x:v>Validated</x:v>
      </x:c>
      <x:c r="Q173" s="506" t="str">
        <x:f>IF(OR(COUNTIF($A$2:$A$201,A173)&gt;1,COUNTIF($G$2:$G$201,G173)&gt;1,AND(F173&lt;&gt;"",COUNTIF($F$2:$F$201,F173)&gt;1),COUNTIF($H$2:$H$201,H173)&gt;1,COUNTIF($I$2:$I$201,I173)&gt;1,COUNTIF($J$2:$J$201,J173)&gt;1),"Yes","No")</x:f>
        <x:v>No</x:v>
      </x:c>
      <x:c r="R173" s="506" t="str">
        <x:f>IF(F173="","Missing",IF(AND(ISNUMBER(SEARCH("@",F173)),ISNUMBER(SEARCH(".",F173))),"Valid","Invalid"))</x:f>
        <x:v>Valid</x:v>
      </x:c>
      <x:c r="S173" s="506" t="n">
        <x:f>IF(K173="Yes",1,0)+IF(L173="Yes",1,0)+IF(M173&lt;&gt;"Clean",1,0)+IF(O173&lt;&gt;"Confirmed",1,0)+IF(P173&lt;&gt;"Validated",1,0)+IF(Q173="Yes",1,0)+IF(R173&lt;&gt;"Valid",1,0)</x:f>
        <x:v>0</x:v>
      </x:c>
      <x:c r="T173" s="517" t="n">
        <x:f>MAX(0,1-S173/7)</x:f>
        <x:v>1</x:v>
      </x:c>
      <x:c r="U173" s="506" t="str">
        <x:f>IF(AND(K173="No",L173="No",M173="Clean",O173="Confirmed",P173="Validated",Q173="No",R173="Valid"),"Ready","Hold")</x:f>
        <x:v>Ready</x:v>
      </x:c>
      <x:c r="V173" s="507" t="str">
        <x:f>IF(U173="Ready","No action",IF(K173="Yes","Resolve duplicate and confirm surviving record",IF(L173="Yes","Populate and validate email","Complete remediation and validation")))</x:f>
        <x:v>No action</x:v>
      </x:c>
    </x:row>
    <x:row r="174">
      <x:c r="A174" s="505" t="n">
        <x:v>1174</x:v>
      </x:c>
      <x:c r="B174" s="506" t="str">
        <x:v>Emp174</x:v>
      </x:c>
      <x:c r="C174" s="506" t="str">
        <x:v>User174</x:v>
      </x:c>
      <x:c r="D174" s="506" t="str">
        <x:v>India</x:v>
      </x:c>
      <x:c r="E174" s="506" t="str">
        <x:v>Sales</x:v>
      </x:c>
      <x:c r="F174" s="506"/>
      <x:c r="G174" s="506" t="str">
        <x:v>emp174</x:v>
      </x:c>
      <x:c r="H174" s="506" t="str">
        <x:v>BHR174</x:v>
      </x:c>
      <x:c r="I174" s="506" t="str">
        <x:v>MAC174</x:v>
      </x:c>
      <x:c r="J174" s="506" t="str">
        <x:v>XY174</x:v>
      </x:c>
      <x:c r="K174" s="506" t="str">
        <x:v>No</x:v>
      </x:c>
      <x:c r="L174" s="506" t="str">
        <x:v>Yes</x:v>
      </x:c>
      <x:c r="M174" s="506" t="str">
        <x:v>Issue</x:v>
      </x:c>
      <x:c r="N174" s="506" t="str">
        <x:v>BambooHR</x:v>
      </x:c>
      <x:c r="O174" s="506" t="str">
        <x:v>Pending</x:v>
      </x:c>
      <x:c r="P174" s="506" t="str">
        <x:v>Pending</x:v>
      </x:c>
      <x:c r="Q174" s="506" t="str">
        <x:f>IF(OR(COUNTIF($A$2:$A$201,A174)&gt;1,COUNTIF($G$2:$G$201,G174)&gt;1,AND(F174&lt;&gt;"",COUNTIF($F$2:$F$201,F174)&gt;1),COUNTIF($H$2:$H$201,H174)&gt;1,COUNTIF($I$2:$I$201,I174)&gt;1,COUNTIF($J$2:$J$201,J174)&gt;1),"Yes","No")</x:f>
        <x:v>No</x:v>
      </x:c>
      <x:c r="R174" s="506" t="str">
        <x:f>IF(F174="","Missing",IF(AND(ISNUMBER(SEARCH("@",F174)),ISNUMBER(SEARCH(".",F174))),"Valid","Invalid"))</x:f>
        <x:v>Missing</x:v>
      </x:c>
      <x:c r="S174" s="506" t="n">
        <x:f>IF(K174="Yes",1,0)+IF(L174="Yes",1,0)+IF(M174&lt;&gt;"Clean",1,0)+IF(O174&lt;&gt;"Confirmed",1,0)+IF(P174&lt;&gt;"Validated",1,0)+IF(Q174="Yes",1,0)+IF(R174&lt;&gt;"Valid",1,0)</x:f>
        <x:v>5</x:v>
      </x:c>
      <x:c r="T174" s="517" t="n">
        <x:f>MAX(0,1-S174/7)</x:f>
        <x:v>0.2857142857142857</x:v>
      </x:c>
      <x:c r="U174" s="506" t="str">
        <x:f>IF(AND(K174="No",L174="No",M174="Clean",O174="Confirmed",P174="Validated",Q174="No",R174="Valid"),"Ready","Hold")</x:f>
        <x:v>Hold</x:v>
      </x:c>
      <x:c r="V174" s="507" t="str">
        <x:f>IF(U174="Ready","No action",IF(K174="Yes","Resolve duplicate and confirm surviving record",IF(L174="Yes","Populate and validate email","Complete remediation and validation")))</x:f>
        <x:v>Populate and validate email</x:v>
      </x:c>
    </x:row>
    <x:row r="175">
      <x:c r="A175" s="505" t="n">
        <x:v>1175</x:v>
      </x:c>
      <x:c r="B175" s="506" t="str">
        <x:v>Emp175</x:v>
      </x:c>
      <x:c r="C175" s="506" t="str">
        <x:v>User175</x:v>
      </x:c>
      <x:c r="D175" s="506" t="str">
        <x:v>Australia</x:v>
      </x:c>
      <x:c r="E175" s="506" t="str">
        <x:v>Marketing</x:v>
      </x:c>
      <x:c r="F175" s="506" t="str">
        <x:v>emp175@company.com</x:v>
      </x:c>
      <x:c r="G175" s="506" t="str">
        <x:v>emp175</x:v>
      </x:c>
      <x:c r="H175" s="506" t="str">
        <x:v>BHR175</x:v>
      </x:c>
      <x:c r="I175" s="506" t="str">
        <x:v>MAC175</x:v>
      </x:c>
      <x:c r="J175" s="506" t="str">
        <x:v>XY175</x:v>
      </x:c>
      <x:c r="K175" s="506" t="str">
        <x:v>No</x:v>
      </x:c>
      <x:c r="L175" s="506" t="str">
        <x:v>No</x:v>
      </x:c>
      <x:c r="M175" s="506" t="str">
        <x:v>Clean</x:v>
      </x:c>
      <x:c r="N175" s="506" t="str">
        <x:v>Active Directory</x:v>
      </x:c>
      <x:c r="O175" s="506" t="str">
        <x:v>Confirmed</x:v>
      </x:c>
      <x:c r="P175" s="506" t="str">
        <x:v>Validated</x:v>
      </x:c>
      <x:c r="Q175" s="506" t="str">
        <x:f>IF(OR(COUNTIF($A$2:$A$201,A175)&gt;1,COUNTIF($G$2:$G$201,G175)&gt;1,AND(F175&lt;&gt;"",COUNTIF($F$2:$F$201,F175)&gt;1),COUNTIF($H$2:$H$201,H175)&gt;1,COUNTIF($I$2:$I$201,I175)&gt;1,COUNTIF($J$2:$J$201,J175)&gt;1),"Yes","No")</x:f>
        <x:v>No</x:v>
      </x:c>
      <x:c r="R175" s="506" t="str">
        <x:f>IF(F175="","Missing",IF(AND(ISNUMBER(SEARCH("@",F175)),ISNUMBER(SEARCH(".",F175))),"Valid","Invalid"))</x:f>
        <x:v>Valid</x:v>
      </x:c>
      <x:c r="S175" s="506" t="n">
        <x:f>IF(K175="Yes",1,0)+IF(L175="Yes",1,0)+IF(M175&lt;&gt;"Clean",1,0)+IF(O175&lt;&gt;"Confirmed",1,0)+IF(P175&lt;&gt;"Validated",1,0)+IF(Q175="Yes",1,0)+IF(R175&lt;&gt;"Valid",1,0)</x:f>
        <x:v>0</x:v>
      </x:c>
      <x:c r="T175" s="517" t="n">
        <x:f>MAX(0,1-S175/7)</x:f>
        <x:v>1</x:v>
      </x:c>
      <x:c r="U175" s="506" t="str">
        <x:f>IF(AND(K175="No",L175="No",M175="Clean",O175="Confirmed",P175="Validated",Q175="No",R175="Valid"),"Ready","Hold")</x:f>
        <x:v>Ready</x:v>
      </x:c>
      <x:c r="V175" s="507" t="str">
        <x:f>IF(U175="Ready","No action",IF(K175="Yes","Resolve duplicate and confirm surviving record",IF(L175="Yes","Populate and validate email","Complete remediation and validation")))</x:f>
        <x:v>No action</x:v>
      </x:c>
    </x:row>
    <x:row r="176">
      <x:c r="A176" s="505" t="n">
        <x:v>1176</x:v>
      </x:c>
      <x:c r="B176" s="506" t="str">
        <x:v>Emp176</x:v>
      </x:c>
      <x:c r="C176" s="506" t="str">
        <x:v>User176</x:v>
      </x:c>
      <x:c r="D176" s="506" t="str">
        <x:v>UAE</x:v>
      </x:c>
      <x:c r="E176" s="506" t="str">
        <x:v>HR</x:v>
      </x:c>
      <x:c r="F176" s="506" t="str">
        <x:v>emp176@company.com</x:v>
      </x:c>
      <x:c r="G176" s="506" t="str">
        <x:v>emp176</x:v>
      </x:c>
      <x:c r="H176" s="506" t="str">
        <x:v>BHR176</x:v>
      </x:c>
      <x:c r="I176" s="506" t="str">
        <x:v>MAC176</x:v>
      </x:c>
      <x:c r="J176" s="506" t="str">
        <x:v>XY176</x:v>
      </x:c>
      <x:c r="K176" s="506" t="str">
        <x:v>No</x:v>
      </x:c>
      <x:c r="L176" s="506" t="str">
        <x:v>No</x:v>
      </x:c>
      <x:c r="M176" s="506" t="str">
        <x:v>Clean</x:v>
      </x:c>
      <x:c r="N176" s="506" t="str">
        <x:v>Maconomy</x:v>
      </x:c>
      <x:c r="O176" s="506" t="str">
        <x:v>Confirmed</x:v>
      </x:c>
      <x:c r="P176" s="506" t="str">
        <x:v>Validated</x:v>
      </x:c>
      <x:c r="Q176" s="506" t="str">
        <x:f>IF(OR(COUNTIF($A$2:$A$201,A176)&gt;1,COUNTIF($G$2:$G$201,G176)&gt;1,AND(F176&lt;&gt;"",COUNTIF($F$2:$F$201,F176)&gt;1),COUNTIF($H$2:$H$201,H176)&gt;1,COUNTIF($I$2:$I$201,I176)&gt;1,COUNTIF($J$2:$J$201,J176)&gt;1),"Yes","No")</x:f>
        <x:v>No</x:v>
      </x:c>
      <x:c r="R176" s="506" t="str">
        <x:f>IF(F176="","Missing",IF(AND(ISNUMBER(SEARCH("@",F176)),ISNUMBER(SEARCH(".",F176))),"Valid","Invalid"))</x:f>
        <x:v>Valid</x:v>
      </x:c>
      <x:c r="S176" s="506" t="n">
        <x:f>IF(K176="Yes",1,0)+IF(L176="Yes",1,0)+IF(M176&lt;&gt;"Clean",1,0)+IF(O176&lt;&gt;"Confirmed",1,0)+IF(P176&lt;&gt;"Validated",1,0)+IF(Q176="Yes",1,0)+IF(R176&lt;&gt;"Valid",1,0)</x:f>
        <x:v>0</x:v>
      </x:c>
      <x:c r="T176" s="517" t="n">
        <x:f>MAX(0,1-S176/7)</x:f>
        <x:v>1</x:v>
      </x:c>
      <x:c r="U176" s="506" t="str">
        <x:f>IF(AND(K176="No",L176="No",M176="Clean",O176="Confirmed",P176="Validated",Q176="No",R176="Valid"),"Ready","Hold")</x:f>
        <x:v>Ready</x:v>
      </x:c>
      <x:c r="V176" s="507" t="str">
        <x:f>IF(U176="Ready","No action",IF(K176="Yes","Resolve duplicate and confirm surviving record",IF(L176="Yes","Populate and validate email","Complete remediation and validation")))</x:f>
        <x:v>No action</x:v>
      </x:c>
    </x:row>
    <x:row r="177">
      <x:c r="A177" s="505" t="n">
        <x:v>1177</x:v>
      </x:c>
      <x:c r="B177" s="506" t="str">
        <x:v>Emp177</x:v>
      </x:c>
      <x:c r="C177" s="506" t="str">
        <x:v>User177</x:v>
      </x:c>
      <x:c r="D177" s="506" t="str">
        <x:v>France</x:v>
      </x:c>
      <x:c r="E177" s="506" t="str">
        <x:v>Finance</x:v>
      </x:c>
      <x:c r="F177" s="506" t="str">
        <x:v>emp177@company.com</x:v>
      </x:c>
      <x:c r="G177" s="506" t="str">
        <x:v>emp177</x:v>
      </x:c>
      <x:c r="H177" s="506" t="str">
        <x:v>BHR177</x:v>
      </x:c>
      <x:c r="I177" s="506" t="str">
        <x:v>MAC177</x:v>
      </x:c>
      <x:c r="J177" s="506" t="str">
        <x:v>XY177</x:v>
      </x:c>
      <x:c r="K177" s="506" t="str">
        <x:v>No</x:v>
      </x:c>
      <x:c r="L177" s="506" t="str">
        <x:v>No</x:v>
      </x:c>
      <x:c r="M177" s="506" t="str">
        <x:v>Clean</x:v>
      </x:c>
      <x:c r="N177" s="506" t="str">
        <x:v>Xytech</x:v>
      </x:c>
      <x:c r="O177" s="506" t="str">
        <x:v>Confirmed</x:v>
      </x:c>
      <x:c r="P177" s="506" t="str">
        <x:v>Validated</x:v>
      </x:c>
      <x:c r="Q177" s="506" t="str">
        <x:f>IF(OR(COUNTIF($A$2:$A$201,A177)&gt;1,COUNTIF($G$2:$G$201,G177)&gt;1,AND(F177&lt;&gt;"",COUNTIF($F$2:$F$201,F177)&gt;1),COUNTIF($H$2:$H$201,H177)&gt;1,COUNTIF($I$2:$I$201,I177)&gt;1,COUNTIF($J$2:$J$201,J177)&gt;1),"Yes","No")</x:f>
        <x:v>No</x:v>
      </x:c>
      <x:c r="R177" s="506" t="str">
        <x:f>IF(F177="","Missing",IF(AND(ISNUMBER(SEARCH("@",F177)),ISNUMBER(SEARCH(".",F177))),"Valid","Invalid"))</x:f>
        <x:v>Valid</x:v>
      </x:c>
      <x:c r="S177" s="506" t="n">
        <x:f>IF(K177="Yes",1,0)+IF(L177="Yes",1,0)+IF(M177&lt;&gt;"Clean",1,0)+IF(O177&lt;&gt;"Confirmed",1,0)+IF(P177&lt;&gt;"Validated",1,0)+IF(Q177="Yes",1,0)+IF(R177&lt;&gt;"Valid",1,0)</x:f>
        <x:v>0</x:v>
      </x:c>
      <x:c r="T177" s="517" t="n">
        <x:f>MAX(0,1-S177/7)</x:f>
        <x:v>1</x:v>
      </x:c>
      <x:c r="U177" s="506" t="str">
        <x:f>IF(AND(K177="No",L177="No",M177="Clean",O177="Confirmed",P177="Validated",Q177="No",R177="Valid"),"Ready","Hold")</x:f>
        <x:v>Ready</x:v>
      </x:c>
      <x:c r="V177" s="507" t="str">
        <x:f>IF(U177="Ready","No action",IF(K177="Yes","Resolve duplicate and confirm surviving record",IF(L177="Yes","Populate and validate email","Complete remediation and validation")))</x:f>
        <x:v>No action</x:v>
      </x:c>
    </x:row>
    <x:row r="178">
      <x:c r="A178" s="505" t="n">
        <x:v>1178</x:v>
      </x:c>
      <x:c r="B178" s="506" t="str">
        <x:v>Emp178</x:v>
      </x:c>
      <x:c r="C178" s="506" t="str">
        <x:v>User178</x:v>
      </x:c>
      <x:c r="D178" s="506" t="str">
        <x:v>Nigeria</x:v>
      </x:c>
      <x:c r="E178" s="506" t="str">
        <x:v>IT</x:v>
      </x:c>
      <x:c r="F178" s="506" t="str">
        <x:v>emp178@company.com</x:v>
      </x:c>
      <x:c r="G178" s="506" t="str">
        <x:v>emp178</x:v>
      </x:c>
      <x:c r="H178" s="506" t="str">
        <x:v>BHR178</x:v>
      </x:c>
      <x:c r="I178" s="506" t="str">
        <x:v>MAC178</x:v>
      </x:c>
      <x:c r="J178" s="506" t="str">
        <x:v>XY178</x:v>
      </x:c>
      <x:c r="K178" s="506" t="str">
        <x:v>No</x:v>
      </x:c>
      <x:c r="L178" s="506" t="str">
        <x:v>No</x:v>
      </x:c>
      <x:c r="M178" s="506" t="str">
        <x:v>Clean</x:v>
      </x:c>
      <x:c r="N178" s="506" t="str">
        <x:v>BambooHR</x:v>
      </x:c>
      <x:c r="O178" s="506" t="str">
        <x:v>Confirmed</x:v>
      </x:c>
      <x:c r="P178" s="506" t="str">
        <x:v>Validated</x:v>
      </x:c>
      <x:c r="Q178" s="506" t="str">
        <x:f>IF(OR(COUNTIF($A$2:$A$201,A178)&gt;1,COUNTIF($G$2:$G$201,G178)&gt;1,AND(F178&lt;&gt;"",COUNTIF($F$2:$F$201,F178)&gt;1),COUNTIF($H$2:$H$201,H178)&gt;1,COUNTIF($I$2:$I$201,I178)&gt;1,COUNTIF($J$2:$J$201,J178)&gt;1),"Yes","No")</x:f>
        <x:v>No</x:v>
      </x:c>
      <x:c r="R178" s="506" t="str">
        <x:f>IF(F178="","Missing",IF(AND(ISNUMBER(SEARCH("@",F178)),ISNUMBER(SEARCH(".",F178))),"Valid","Invalid"))</x:f>
        <x:v>Valid</x:v>
      </x:c>
      <x:c r="S178" s="506" t="n">
        <x:f>IF(K178="Yes",1,0)+IF(L178="Yes",1,0)+IF(M178&lt;&gt;"Clean",1,0)+IF(O178&lt;&gt;"Confirmed",1,0)+IF(P178&lt;&gt;"Validated",1,0)+IF(Q178="Yes",1,0)+IF(R178&lt;&gt;"Valid",1,0)</x:f>
        <x:v>0</x:v>
      </x:c>
      <x:c r="T178" s="517" t="n">
        <x:f>MAX(0,1-S178/7)</x:f>
        <x:v>1</x:v>
      </x:c>
      <x:c r="U178" s="506" t="str">
        <x:f>IF(AND(K178="No",L178="No",M178="Clean",O178="Confirmed",P178="Validated",Q178="No",R178="Valid"),"Ready","Hold")</x:f>
        <x:v>Ready</x:v>
      </x:c>
      <x:c r="V178" s="507" t="str">
        <x:f>IF(U178="Ready","No action",IF(K178="Yes","Resolve duplicate and confirm surviving record",IF(L178="Yes","Populate and validate email","Complete remediation and validation")))</x:f>
        <x:v>No action</x:v>
      </x:c>
    </x:row>
    <x:row r="179">
      <x:c r="A179" s="505" t="n">
        <x:v>1179</x:v>
      </x:c>
      <x:c r="B179" s="506" t="str">
        <x:v>Emp179</x:v>
      </x:c>
      <x:c r="C179" s="506" t="str">
        <x:v>User179</x:v>
      </x:c>
      <x:c r="D179" s="506" t="str">
        <x:v>Gambia</x:v>
      </x:c>
      <x:c r="E179" s="506" t="str">
        <x:v>Operations</x:v>
      </x:c>
      <x:c r="F179" s="506" t="str">
        <x:v>emp179@company.com</x:v>
      </x:c>
      <x:c r="G179" s="506" t="str">
        <x:v>emp179</x:v>
      </x:c>
      <x:c r="H179" s="506" t="str">
        <x:v>BHR179</x:v>
      </x:c>
      <x:c r="I179" s="506" t="str">
        <x:v>MAC179</x:v>
      </x:c>
      <x:c r="J179" s="506" t="str">
        <x:v>XY179</x:v>
      </x:c>
      <x:c r="K179" s="506" t="str">
        <x:v>No</x:v>
      </x:c>
      <x:c r="L179" s="506" t="str">
        <x:v>No</x:v>
      </x:c>
      <x:c r="M179" s="506" t="str">
        <x:v>Clean</x:v>
      </x:c>
      <x:c r="N179" s="506" t="str">
        <x:v>Active Directory</x:v>
      </x:c>
      <x:c r="O179" s="506" t="str">
        <x:v>Confirmed</x:v>
      </x:c>
      <x:c r="P179" s="506" t="str">
        <x:v>Validated</x:v>
      </x:c>
      <x:c r="Q179" s="506" t="str">
        <x:f>IF(OR(COUNTIF($A$2:$A$201,A179)&gt;1,COUNTIF($G$2:$G$201,G179)&gt;1,AND(F179&lt;&gt;"",COUNTIF($F$2:$F$201,F179)&gt;1),COUNTIF($H$2:$H$201,H179)&gt;1,COUNTIF($I$2:$I$201,I179)&gt;1,COUNTIF($J$2:$J$201,J179)&gt;1),"Yes","No")</x:f>
        <x:v>No</x:v>
      </x:c>
      <x:c r="R179" s="506" t="str">
        <x:f>IF(F179="","Missing",IF(AND(ISNUMBER(SEARCH("@",F179)),ISNUMBER(SEARCH(".",F179))),"Valid","Invalid"))</x:f>
        <x:v>Valid</x:v>
      </x:c>
      <x:c r="S179" s="506" t="n">
        <x:f>IF(K179="Yes",1,0)+IF(L179="Yes",1,0)+IF(M179&lt;&gt;"Clean",1,0)+IF(O179&lt;&gt;"Confirmed",1,0)+IF(P179&lt;&gt;"Validated",1,0)+IF(Q179="Yes",1,0)+IF(R179&lt;&gt;"Valid",1,0)</x:f>
        <x:v>0</x:v>
      </x:c>
      <x:c r="T179" s="517" t="n">
        <x:f>MAX(0,1-S179/7)</x:f>
        <x:v>1</x:v>
      </x:c>
      <x:c r="U179" s="506" t="str">
        <x:f>IF(AND(K179="No",L179="No",M179="Clean",O179="Confirmed",P179="Validated",Q179="No",R179="Valid"),"Ready","Hold")</x:f>
        <x:v>Ready</x:v>
      </x:c>
      <x:c r="V179" s="507" t="str">
        <x:f>IF(U179="Ready","No action",IF(K179="Yes","Resolve duplicate and confirm surviving record",IF(L179="Yes","Populate and validate email","Complete remediation and validation")))</x:f>
        <x:v>No action</x:v>
      </x:c>
    </x:row>
    <x:row r="180">
      <x:c r="A180" s="505" t="n">
        <x:v>1180</x:v>
      </x:c>
      <x:c r="B180" s="506" t="str">
        <x:v>Emp180</x:v>
      </x:c>
      <x:c r="C180" s="506" t="str">
        <x:v>User180</x:v>
      </x:c>
      <x:c r="D180" s="506" t="str">
        <x:v>Spain</x:v>
      </x:c>
      <x:c r="E180" s="506" t="str">
        <x:v>Sales</x:v>
      </x:c>
      <x:c r="F180" s="506" t="str">
        <x:v>emp180@company.com</x:v>
      </x:c>
      <x:c r="G180" s="506" t="str">
        <x:v>emp180</x:v>
      </x:c>
      <x:c r="H180" s="506" t="str">
        <x:v>BHR180</x:v>
      </x:c>
      <x:c r="I180" s="506" t="str">
        <x:v>MAC180</x:v>
      </x:c>
      <x:c r="J180" s="506" t="str">
        <x:v>XY180</x:v>
      </x:c>
      <x:c r="K180" s="506" t="str">
        <x:v>No</x:v>
      </x:c>
      <x:c r="L180" s="506" t="str">
        <x:v>No</x:v>
      </x:c>
      <x:c r="M180" s="506" t="str">
        <x:v>Clean</x:v>
      </x:c>
      <x:c r="N180" s="506" t="str">
        <x:v>Maconomy</x:v>
      </x:c>
      <x:c r="O180" s="506" t="str">
        <x:v>Confirmed</x:v>
      </x:c>
      <x:c r="P180" s="506" t="str">
        <x:v>Validated</x:v>
      </x:c>
      <x:c r="Q180" s="506" t="str">
        <x:f>IF(OR(COUNTIF($A$2:$A$201,A180)&gt;1,COUNTIF($G$2:$G$201,G180)&gt;1,AND(F180&lt;&gt;"",COUNTIF($F$2:$F$201,F180)&gt;1),COUNTIF($H$2:$H$201,H180)&gt;1,COUNTIF($I$2:$I$201,I180)&gt;1,COUNTIF($J$2:$J$201,J180)&gt;1),"Yes","No")</x:f>
        <x:v>No</x:v>
      </x:c>
      <x:c r="R180" s="506" t="str">
        <x:f>IF(F180="","Missing",IF(AND(ISNUMBER(SEARCH("@",F180)),ISNUMBER(SEARCH(".",F180))),"Valid","Invalid"))</x:f>
        <x:v>Valid</x:v>
      </x:c>
      <x:c r="S180" s="506" t="n">
        <x:f>IF(K180="Yes",1,0)+IF(L180="Yes",1,0)+IF(M180&lt;&gt;"Clean",1,0)+IF(O180&lt;&gt;"Confirmed",1,0)+IF(P180&lt;&gt;"Validated",1,0)+IF(Q180="Yes",1,0)+IF(R180&lt;&gt;"Valid",1,0)</x:f>
        <x:v>0</x:v>
      </x:c>
      <x:c r="T180" s="517" t="n">
        <x:f>MAX(0,1-S180/7)</x:f>
        <x:v>1</x:v>
      </x:c>
      <x:c r="U180" s="506" t="str">
        <x:f>IF(AND(K180="No",L180="No",M180="Clean",O180="Confirmed",P180="Validated",Q180="No",R180="Valid"),"Ready","Hold")</x:f>
        <x:v>Ready</x:v>
      </x:c>
      <x:c r="V180" s="507" t="str">
        <x:f>IF(U180="Ready","No action",IF(K180="Yes","Resolve duplicate and confirm surviving record",IF(L180="Yes","Populate and validate email","Complete remediation and validation")))</x:f>
        <x:v>No action</x:v>
      </x:c>
    </x:row>
    <x:row r="181">
      <x:c r="A181" s="505" t="n">
        <x:v>1181</x:v>
      </x:c>
      <x:c r="B181" s="506" t="str">
        <x:v>Emp181</x:v>
      </x:c>
      <x:c r="C181" s="506" t="str">
        <x:v>User181</x:v>
      </x:c>
      <x:c r="D181" s="506" t="str">
        <x:v>Netherlands</x:v>
      </x:c>
      <x:c r="E181" s="506" t="str">
        <x:v>Marketing</x:v>
      </x:c>
      <x:c r="F181" s="506" t="str">
        <x:v>emp181@company.com</x:v>
      </x:c>
      <x:c r="G181" s="506" t="str">
        <x:v>emp181</x:v>
      </x:c>
      <x:c r="H181" s="506" t="str">
        <x:v>BHR181</x:v>
      </x:c>
      <x:c r="I181" s="506" t="str">
        <x:v>MAC181</x:v>
      </x:c>
      <x:c r="J181" s="506" t="str">
        <x:v>XY181</x:v>
      </x:c>
      <x:c r="K181" s="506" t="str">
        <x:v>No</x:v>
      </x:c>
      <x:c r="L181" s="506" t="str">
        <x:v>No</x:v>
      </x:c>
      <x:c r="M181" s="506" t="str">
        <x:v>Clean</x:v>
      </x:c>
      <x:c r="N181" s="506" t="str">
        <x:v>Xytech</x:v>
      </x:c>
      <x:c r="O181" s="506" t="str">
        <x:v>Confirmed</x:v>
      </x:c>
      <x:c r="P181" s="506" t="str">
        <x:v>Validated</x:v>
      </x:c>
      <x:c r="Q181" s="506" t="str">
        <x:f>IF(OR(COUNTIF($A$2:$A$201,A181)&gt;1,COUNTIF($G$2:$G$201,G181)&gt;1,AND(F181&lt;&gt;"",COUNTIF($F$2:$F$201,F181)&gt;1),COUNTIF($H$2:$H$201,H181)&gt;1,COUNTIF($I$2:$I$201,I181)&gt;1,COUNTIF($J$2:$J$201,J181)&gt;1),"Yes","No")</x:f>
        <x:v>No</x:v>
      </x:c>
      <x:c r="R181" s="506" t="str">
        <x:f>IF(F181="","Missing",IF(AND(ISNUMBER(SEARCH("@",F181)),ISNUMBER(SEARCH(".",F181))),"Valid","Invalid"))</x:f>
        <x:v>Valid</x:v>
      </x:c>
      <x:c r="S181" s="506" t="n">
        <x:f>IF(K181="Yes",1,0)+IF(L181="Yes",1,0)+IF(M181&lt;&gt;"Clean",1,0)+IF(O181&lt;&gt;"Confirmed",1,0)+IF(P181&lt;&gt;"Validated",1,0)+IF(Q181="Yes",1,0)+IF(R181&lt;&gt;"Valid",1,0)</x:f>
        <x:v>0</x:v>
      </x:c>
      <x:c r="T181" s="517" t="n">
        <x:f>MAX(0,1-S181/7)</x:f>
        <x:v>1</x:v>
      </x:c>
      <x:c r="U181" s="506" t="str">
        <x:f>IF(AND(K181="No",L181="No",M181="Clean",O181="Confirmed",P181="Validated",Q181="No",R181="Valid"),"Ready","Hold")</x:f>
        <x:v>Ready</x:v>
      </x:c>
      <x:c r="V181" s="507" t="str">
        <x:f>IF(U181="Ready","No action",IF(K181="Yes","Resolve duplicate and confirm surviving record",IF(L181="Yes","Populate and validate email","Complete remediation and validation")))</x:f>
        <x:v>No action</x:v>
      </x:c>
    </x:row>
    <x:row r="182">
      <x:c r="A182" s="505" t="n">
        <x:v>1182</x:v>
      </x:c>
      <x:c r="B182" s="506" t="str">
        <x:v>Emp182</x:v>
      </x:c>
      <x:c r="C182" s="506" t="str">
        <x:v>User182</x:v>
      </x:c>
      <x:c r="D182" s="506" t="str">
        <x:v>Singapore</x:v>
      </x:c>
      <x:c r="E182" s="506" t="str">
        <x:v>HR</x:v>
      </x:c>
      <x:c r="F182" s="506" t="str">
        <x:v>emp182@company.com</x:v>
      </x:c>
      <x:c r="G182" s="506" t="str">
        <x:v>emp182</x:v>
      </x:c>
      <x:c r="H182" s="506" t="str">
        <x:v>BHR182</x:v>
      </x:c>
      <x:c r="I182" s="506" t="str">
        <x:v>MAC182</x:v>
      </x:c>
      <x:c r="J182" s="506" t="str">
        <x:v>XY182</x:v>
      </x:c>
      <x:c r="K182" s="506" t="str">
        <x:v>No</x:v>
      </x:c>
      <x:c r="L182" s="506" t="str">
        <x:v>No</x:v>
      </x:c>
      <x:c r="M182" s="506" t="str">
        <x:v>Clean</x:v>
      </x:c>
      <x:c r="N182" s="506" t="str">
        <x:v>BambooHR</x:v>
      </x:c>
      <x:c r="O182" s="506" t="str">
        <x:v>Confirmed</x:v>
      </x:c>
      <x:c r="P182" s="506" t="str">
        <x:v>Validated</x:v>
      </x:c>
      <x:c r="Q182" s="506" t="str">
        <x:f>IF(OR(COUNTIF($A$2:$A$201,A182)&gt;1,COUNTIF($G$2:$G$201,G182)&gt;1,AND(F182&lt;&gt;"",COUNTIF($F$2:$F$201,F182)&gt;1),COUNTIF($H$2:$H$201,H182)&gt;1,COUNTIF($I$2:$I$201,I182)&gt;1,COUNTIF($J$2:$J$201,J182)&gt;1),"Yes","No")</x:f>
        <x:v>No</x:v>
      </x:c>
      <x:c r="R182" s="506" t="str">
        <x:f>IF(F182="","Missing",IF(AND(ISNUMBER(SEARCH("@",F182)),ISNUMBER(SEARCH(".",F182))),"Valid","Invalid"))</x:f>
        <x:v>Valid</x:v>
      </x:c>
      <x:c r="S182" s="506" t="n">
        <x:f>IF(K182="Yes",1,0)+IF(L182="Yes",1,0)+IF(M182&lt;&gt;"Clean",1,0)+IF(O182&lt;&gt;"Confirmed",1,0)+IF(P182&lt;&gt;"Validated",1,0)+IF(Q182="Yes",1,0)+IF(R182&lt;&gt;"Valid",1,0)</x:f>
        <x:v>0</x:v>
      </x:c>
      <x:c r="T182" s="517" t="n">
        <x:f>MAX(0,1-S182/7)</x:f>
        <x:v>1</x:v>
      </x:c>
      <x:c r="U182" s="506" t="str">
        <x:f>IF(AND(K182="No",L182="No",M182="Clean",O182="Confirmed",P182="Validated",Q182="No",R182="Valid"),"Ready","Hold")</x:f>
        <x:v>Ready</x:v>
      </x:c>
      <x:c r="V182" s="507" t="str">
        <x:f>IF(U182="Ready","No action",IF(K182="Yes","Resolve duplicate and confirm surviving record",IF(L182="Yes","Populate and validate email","Complete remediation and validation")))</x:f>
        <x:v>No action</x:v>
      </x:c>
    </x:row>
    <x:row r="183">
      <x:c r="A183" s="505" t="n">
        <x:v>1183</x:v>
      </x:c>
      <x:c r="B183" s="506" t="str">
        <x:v>Emp183</x:v>
      </x:c>
      <x:c r="C183" s="506" t="str">
        <x:v>User183</x:v>
      </x:c>
      <x:c r="D183" s="506" t="str">
        <x:v>Brazil</x:v>
      </x:c>
      <x:c r="E183" s="506" t="str">
        <x:v>Finance</x:v>
      </x:c>
      <x:c r="F183" s="506" t="str">
        <x:v>emp183@company.com</x:v>
      </x:c>
      <x:c r="G183" s="506" t="str">
        <x:v>emp183</x:v>
      </x:c>
      <x:c r="H183" s="506" t="str">
        <x:v>BHR183</x:v>
      </x:c>
      <x:c r="I183" s="506" t="str">
        <x:v>MAC183</x:v>
      </x:c>
      <x:c r="J183" s="506" t="str">
        <x:v>XY183</x:v>
      </x:c>
      <x:c r="K183" s="506" t="str">
        <x:v>No</x:v>
      </x:c>
      <x:c r="L183" s="506" t="str">
        <x:v>No</x:v>
      </x:c>
      <x:c r="M183" s="506" t="str">
        <x:v>Clean</x:v>
      </x:c>
      <x:c r="N183" s="506" t="str">
        <x:v>Active Directory</x:v>
      </x:c>
      <x:c r="O183" s="506" t="str">
        <x:v>Confirmed</x:v>
      </x:c>
      <x:c r="P183" s="506" t="str">
        <x:v>Validated</x:v>
      </x:c>
      <x:c r="Q183" s="506" t="str">
        <x:f>IF(OR(COUNTIF($A$2:$A$201,A183)&gt;1,COUNTIF($G$2:$G$201,G183)&gt;1,AND(F183&lt;&gt;"",COUNTIF($F$2:$F$201,F183)&gt;1),COUNTIF($H$2:$H$201,H183)&gt;1,COUNTIF($I$2:$I$201,I183)&gt;1,COUNTIF($J$2:$J$201,J183)&gt;1),"Yes","No")</x:f>
        <x:v>No</x:v>
      </x:c>
      <x:c r="R183" s="506" t="str">
        <x:f>IF(F183="","Missing",IF(AND(ISNUMBER(SEARCH("@",F183)),ISNUMBER(SEARCH(".",F183))),"Valid","Invalid"))</x:f>
        <x:v>Valid</x:v>
      </x:c>
      <x:c r="S183" s="506" t="n">
        <x:f>IF(K183="Yes",1,0)+IF(L183="Yes",1,0)+IF(M183&lt;&gt;"Clean",1,0)+IF(O183&lt;&gt;"Confirmed",1,0)+IF(P183&lt;&gt;"Validated",1,0)+IF(Q183="Yes",1,0)+IF(R183&lt;&gt;"Valid",1,0)</x:f>
        <x:v>0</x:v>
      </x:c>
      <x:c r="T183" s="517" t="n">
        <x:f>MAX(0,1-S183/7)</x:f>
        <x:v>1</x:v>
      </x:c>
      <x:c r="U183" s="506" t="str">
        <x:f>IF(AND(K183="No",L183="No",M183="Clean",O183="Confirmed",P183="Validated",Q183="No",R183="Valid"),"Ready","Hold")</x:f>
        <x:v>Ready</x:v>
      </x:c>
      <x:c r="V183" s="507" t="str">
        <x:f>IF(U183="Ready","No action",IF(K183="Yes","Resolve duplicate and confirm surviving record",IF(L183="Yes","Populate and validate email","Complete remediation and validation")))</x:f>
        <x:v>No action</x:v>
      </x:c>
    </x:row>
    <x:row r="184">
      <x:c r="A184" s="505" t="n">
        <x:v>1184</x:v>
      </x:c>
      <x:c r="B184" s="506" t="str">
        <x:v>Emp184</x:v>
      </x:c>
      <x:c r="C184" s="506" t="str">
        <x:v>User184</x:v>
      </x:c>
      <x:c r="D184" s="506" t="str">
        <x:v>UK</x:v>
      </x:c>
      <x:c r="E184" s="506" t="str">
        <x:v>IT</x:v>
      </x:c>
      <x:c r="F184" s="506" t="str">
        <x:v>emp184@company.com</x:v>
      </x:c>
      <x:c r="G184" s="506" t="str">
        <x:v>emp184</x:v>
      </x:c>
      <x:c r="H184" s="506" t="str">
        <x:v>BHR184</x:v>
      </x:c>
      <x:c r="I184" s="506" t="str">
        <x:v>MAC184</x:v>
      </x:c>
      <x:c r="J184" s="506" t="str">
        <x:v>XY184</x:v>
      </x:c>
      <x:c r="K184" s="506" t="str">
        <x:v>No</x:v>
      </x:c>
      <x:c r="L184" s="506" t="str">
        <x:v>No</x:v>
      </x:c>
      <x:c r="M184" s="506" t="str">
        <x:v>Clean</x:v>
      </x:c>
      <x:c r="N184" s="506" t="str">
        <x:v>Maconomy</x:v>
      </x:c>
      <x:c r="O184" s="506" t="str">
        <x:v>Confirmed</x:v>
      </x:c>
      <x:c r="P184" s="506" t="str">
        <x:v>Validated</x:v>
      </x:c>
      <x:c r="Q184" s="506" t="str">
        <x:f>IF(OR(COUNTIF($A$2:$A$201,A184)&gt;1,COUNTIF($G$2:$G$201,G184)&gt;1,AND(F184&lt;&gt;"",COUNTIF($F$2:$F$201,F184)&gt;1),COUNTIF($H$2:$H$201,H184)&gt;1,COUNTIF($I$2:$I$201,I184)&gt;1,COUNTIF($J$2:$J$201,J184)&gt;1),"Yes","No")</x:f>
        <x:v>No</x:v>
      </x:c>
      <x:c r="R184" s="506" t="str">
        <x:f>IF(F184="","Missing",IF(AND(ISNUMBER(SEARCH("@",F184)),ISNUMBER(SEARCH(".",F184))),"Valid","Invalid"))</x:f>
        <x:v>Valid</x:v>
      </x:c>
      <x:c r="S184" s="506" t="n">
        <x:f>IF(K184="Yes",1,0)+IF(L184="Yes",1,0)+IF(M184&lt;&gt;"Clean",1,0)+IF(O184&lt;&gt;"Confirmed",1,0)+IF(P184&lt;&gt;"Validated",1,0)+IF(Q184="Yes",1,0)+IF(R184&lt;&gt;"Valid",1,0)</x:f>
        <x:v>0</x:v>
      </x:c>
      <x:c r="T184" s="517" t="n">
        <x:f>MAX(0,1-S184/7)</x:f>
        <x:v>1</x:v>
      </x:c>
      <x:c r="U184" s="506" t="str">
        <x:f>IF(AND(K184="No",L184="No",M184="Clean",O184="Confirmed",P184="Validated",Q184="No",R184="Valid"),"Ready","Hold")</x:f>
        <x:v>Ready</x:v>
      </x:c>
      <x:c r="V184" s="507" t="str">
        <x:f>IF(U184="Ready","No action",IF(K184="Yes","Resolve duplicate and confirm surviving record",IF(L184="Yes","Populate and validate email","Complete remediation and validation")))</x:f>
        <x:v>No action</x:v>
      </x:c>
    </x:row>
    <x:row r="185">
      <x:c r="A185" s="505" t="n">
        <x:v>1185</x:v>
      </x:c>
      <x:c r="B185" s="506" t="str">
        <x:v>Emp185</x:v>
      </x:c>
      <x:c r="C185" s="506" t="str">
        <x:v>User185</x:v>
      </x:c>
      <x:c r="D185" s="506" t="str">
        <x:v>USA</x:v>
      </x:c>
      <x:c r="E185" s="506" t="str">
        <x:v>Operations</x:v>
      </x:c>
      <x:c r="F185" s="506" t="str">
        <x:v>emp185@company.com</x:v>
      </x:c>
      <x:c r="G185" s="506" t="str">
        <x:v>emp185</x:v>
      </x:c>
      <x:c r="H185" s="506" t="str">
        <x:v>BHR185</x:v>
      </x:c>
      <x:c r="I185" s="506" t="str">
        <x:v>MAC185</x:v>
      </x:c>
      <x:c r="J185" s="506" t="str">
        <x:v>XY185</x:v>
      </x:c>
      <x:c r="K185" s="506" t="str">
        <x:v>Yes</x:v>
      </x:c>
      <x:c r="L185" s="506" t="str">
        <x:v>No</x:v>
      </x:c>
      <x:c r="M185" s="506" t="str">
        <x:v>Issue</x:v>
      </x:c>
      <x:c r="N185" s="506" t="str">
        <x:v>Xytech</x:v>
      </x:c>
      <x:c r="O185" s="506" t="str">
        <x:v>Pending</x:v>
      </x:c>
      <x:c r="P185" s="506" t="str">
        <x:v>Pending</x:v>
      </x:c>
      <x:c r="Q185" s="506" t="str">
        <x:f>IF(OR(COUNTIF($A$2:$A$201,A185)&gt;1,COUNTIF($G$2:$G$201,G185)&gt;1,AND(F185&lt;&gt;"",COUNTIF($F$2:$F$201,F185)&gt;1),COUNTIF($H$2:$H$201,H185)&gt;1,COUNTIF($I$2:$I$201,I185)&gt;1,COUNTIF($J$2:$J$201,J185)&gt;1),"Yes","No")</x:f>
        <x:v>No</x:v>
      </x:c>
      <x:c r="R185" s="506" t="str">
        <x:f>IF(F185="","Missing",IF(AND(ISNUMBER(SEARCH("@",F185)),ISNUMBER(SEARCH(".",F185))),"Valid","Invalid"))</x:f>
        <x:v>Valid</x:v>
      </x:c>
      <x:c r="S185" s="506" t="n">
        <x:f>IF(K185="Yes",1,0)+IF(L185="Yes",1,0)+IF(M185&lt;&gt;"Clean",1,0)+IF(O185&lt;&gt;"Confirmed",1,0)+IF(P185&lt;&gt;"Validated",1,0)+IF(Q185="Yes",1,0)+IF(R185&lt;&gt;"Valid",1,0)</x:f>
        <x:v>4</x:v>
      </x:c>
      <x:c r="T185" s="517" t="n">
        <x:f>MAX(0,1-S185/7)</x:f>
        <x:v>0.4285714285714286</x:v>
      </x:c>
      <x:c r="U185" s="506" t="str">
        <x:f>IF(AND(K185="No",L185="No",M185="Clean",O185="Confirmed",P185="Validated",Q185="No",R185="Valid"),"Ready","Hold")</x:f>
        <x:v>Hold</x:v>
      </x:c>
      <x:c r="V185" s="507" t="str">
        <x:f>IF(U185="Ready","No action",IF(K185="Yes","Resolve duplicate and confirm surviving record",IF(L185="Yes","Populate and validate email","Complete remediation and validation")))</x:f>
        <x:v>Resolve duplicate and confirm surviving record</x:v>
      </x:c>
    </x:row>
    <x:row r="186">
      <x:c r="A186" s="505" t="n">
        <x:v>1186</x:v>
      </x:c>
      <x:c r="B186" s="506" t="str">
        <x:v>Emp186</x:v>
      </x:c>
      <x:c r="C186" s="506" t="str">
        <x:v>User186</x:v>
      </x:c>
      <x:c r="D186" s="506" t="str">
        <x:v>Canada</x:v>
      </x:c>
      <x:c r="E186" s="506" t="str">
        <x:v>Sales</x:v>
      </x:c>
      <x:c r="F186" s="506" t="str">
        <x:v>emp186@company.com</x:v>
      </x:c>
      <x:c r="G186" s="506" t="str">
        <x:v>emp186</x:v>
      </x:c>
      <x:c r="H186" s="506" t="str">
        <x:v>BHR186</x:v>
      </x:c>
      <x:c r="I186" s="506" t="str">
        <x:v>MAC186</x:v>
      </x:c>
      <x:c r="J186" s="506" t="str">
        <x:v>XY186</x:v>
      </x:c>
      <x:c r="K186" s="506" t="str">
        <x:v>No</x:v>
      </x:c>
      <x:c r="L186" s="506" t="str">
        <x:v>No</x:v>
      </x:c>
      <x:c r="M186" s="506" t="str">
        <x:v>Clean</x:v>
      </x:c>
      <x:c r="N186" s="506" t="str">
        <x:v>BambooHR</x:v>
      </x:c>
      <x:c r="O186" s="506" t="str">
        <x:v>Confirmed</x:v>
      </x:c>
      <x:c r="P186" s="506" t="str">
        <x:v>Validated</x:v>
      </x:c>
      <x:c r="Q186" s="506" t="str">
        <x:f>IF(OR(COUNTIF($A$2:$A$201,A186)&gt;1,COUNTIF($G$2:$G$201,G186)&gt;1,AND(F186&lt;&gt;"",COUNTIF($F$2:$F$201,F186)&gt;1),COUNTIF($H$2:$H$201,H186)&gt;1,COUNTIF($I$2:$I$201,I186)&gt;1,COUNTIF($J$2:$J$201,J186)&gt;1),"Yes","No")</x:f>
        <x:v>No</x:v>
      </x:c>
      <x:c r="R186" s="506" t="str">
        <x:f>IF(F186="","Missing",IF(AND(ISNUMBER(SEARCH("@",F186)),ISNUMBER(SEARCH(".",F186))),"Valid","Invalid"))</x:f>
        <x:v>Valid</x:v>
      </x:c>
      <x:c r="S186" s="506" t="n">
        <x:f>IF(K186="Yes",1,0)+IF(L186="Yes",1,0)+IF(M186&lt;&gt;"Clean",1,0)+IF(O186&lt;&gt;"Confirmed",1,0)+IF(P186&lt;&gt;"Validated",1,0)+IF(Q186="Yes",1,0)+IF(R186&lt;&gt;"Valid",1,0)</x:f>
        <x:v>0</x:v>
      </x:c>
      <x:c r="T186" s="517" t="n">
        <x:f>MAX(0,1-S186/7)</x:f>
        <x:v>1</x:v>
      </x:c>
      <x:c r="U186" s="506" t="str">
        <x:f>IF(AND(K186="No",L186="No",M186="Clean",O186="Confirmed",P186="Validated",Q186="No",R186="Valid"),"Ready","Hold")</x:f>
        <x:v>Ready</x:v>
      </x:c>
      <x:c r="V186" s="507" t="str">
        <x:f>IF(U186="Ready","No action",IF(K186="Yes","Resolve duplicate and confirm surviving record",IF(L186="Yes","Populate and validate email","Complete remediation and validation")))</x:f>
        <x:v>No action</x:v>
      </x:c>
    </x:row>
    <x:row r="187">
      <x:c r="A187" s="505" t="n">
        <x:v>1187</x:v>
      </x:c>
      <x:c r="B187" s="506" t="str">
        <x:v>Emp187</x:v>
      </x:c>
      <x:c r="C187" s="506" t="str">
        <x:v>User187</x:v>
      </x:c>
      <x:c r="D187" s="506" t="str">
        <x:v>Germany</x:v>
      </x:c>
      <x:c r="E187" s="506" t="str">
        <x:v>Marketing</x:v>
      </x:c>
      <x:c r="F187" s="506" t="str">
        <x:v>emp187@company.com</x:v>
      </x:c>
      <x:c r="G187" s="506" t="str">
        <x:v>emp187</x:v>
      </x:c>
      <x:c r="H187" s="506" t="str">
        <x:v>BHR187</x:v>
      </x:c>
      <x:c r="I187" s="506" t="str">
        <x:v>MAC187</x:v>
      </x:c>
      <x:c r="J187" s="506" t="str">
        <x:v>XY187</x:v>
      </x:c>
      <x:c r="K187" s="506" t="str">
        <x:v>No</x:v>
      </x:c>
      <x:c r="L187" s="506" t="str">
        <x:v>No</x:v>
      </x:c>
      <x:c r="M187" s="506" t="str">
        <x:v>Clean</x:v>
      </x:c>
      <x:c r="N187" s="506" t="str">
        <x:v>Active Directory</x:v>
      </x:c>
      <x:c r="O187" s="506" t="str">
        <x:v>Confirmed</x:v>
      </x:c>
      <x:c r="P187" s="506" t="str">
        <x:v>Validated</x:v>
      </x:c>
      <x:c r="Q187" s="506" t="str">
        <x:f>IF(OR(COUNTIF($A$2:$A$201,A187)&gt;1,COUNTIF($G$2:$G$201,G187)&gt;1,AND(F187&lt;&gt;"",COUNTIF($F$2:$F$201,F187)&gt;1),COUNTIF($H$2:$H$201,H187)&gt;1,COUNTIF($I$2:$I$201,I187)&gt;1,COUNTIF($J$2:$J$201,J187)&gt;1),"Yes","No")</x:f>
        <x:v>No</x:v>
      </x:c>
      <x:c r="R187" s="506" t="str">
        <x:f>IF(F187="","Missing",IF(AND(ISNUMBER(SEARCH("@",F187)),ISNUMBER(SEARCH(".",F187))),"Valid","Invalid"))</x:f>
        <x:v>Valid</x:v>
      </x:c>
      <x:c r="S187" s="506" t="n">
        <x:f>IF(K187="Yes",1,0)+IF(L187="Yes",1,0)+IF(M187&lt;&gt;"Clean",1,0)+IF(O187&lt;&gt;"Confirmed",1,0)+IF(P187&lt;&gt;"Validated",1,0)+IF(Q187="Yes",1,0)+IF(R187&lt;&gt;"Valid",1,0)</x:f>
        <x:v>0</x:v>
      </x:c>
      <x:c r="T187" s="517" t="n">
        <x:f>MAX(0,1-S187/7)</x:f>
        <x:v>1</x:v>
      </x:c>
      <x:c r="U187" s="506" t="str">
        <x:f>IF(AND(K187="No",L187="No",M187="Clean",O187="Confirmed",P187="Validated",Q187="No",R187="Valid"),"Ready","Hold")</x:f>
        <x:v>Ready</x:v>
      </x:c>
      <x:c r="V187" s="507" t="str">
        <x:f>IF(U187="Ready","No action",IF(K187="Yes","Resolve duplicate and confirm surviving record",IF(L187="Yes","Populate and validate email","Complete remediation and validation")))</x:f>
        <x:v>No action</x:v>
      </x:c>
    </x:row>
    <x:row r="188">
      <x:c r="A188" s="505" t="n">
        <x:v>1188</x:v>
      </x:c>
      <x:c r="B188" s="506" t="str">
        <x:v>Emp188</x:v>
      </x:c>
      <x:c r="C188" s="506" t="str">
        <x:v>User188</x:v>
      </x:c>
      <x:c r="D188" s="506" t="str">
        <x:v>India</x:v>
      </x:c>
      <x:c r="E188" s="506" t="str">
        <x:v>HR</x:v>
      </x:c>
      <x:c r="F188" s="506" t="str">
        <x:v>emp188@company.com</x:v>
      </x:c>
      <x:c r="G188" s="506" t="str">
        <x:v>emp188</x:v>
      </x:c>
      <x:c r="H188" s="506" t="str">
        <x:v>BHR188</x:v>
      </x:c>
      <x:c r="I188" s="506" t="str">
        <x:v>MAC188</x:v>
      </x:c>
      <x:c r="J188" s="506" t="str">
        <x:v>XY188</x:v>
      </x:c>
      <x:c r="K188" s="506" t="str">
        <x:v>No</x:v>
      </x:c>
      <x:c r="L188" s="506" t="str">
        <x:v>No</x:v>
      </x:c>
      <x:c r="M188" s="506" t="str">
        <x:v>Clean</x:v>
      </x:c>
      <x:c r="N188" s="506" t="str">
        <x:v>Maconomy</x:v>
      </x:c>
      <x:c r="O188" s="506" t="str">
        <x:v>Confirmed</x:v>
      </x:c>
      <x:c r="P188" s="506" t="str">
        <x:v>Validated</x:v>
      </x:c>
      <x:c r="Q188" s="506" t="str">
        <x:f>IF(OR(COUNTIF($A$2:$A$201,A188)&gt;1,COUNTIF($G$2:$G$201,G188)&gt;1,AND(F188&lt;&gt;"",COUNTIF($F$2:$F$201,F188)&gt;1),COUNTIF($H$2:$H$201,H188)&gt;1,COUNTIF($I$2:$I$201,I188)&gt;1,COUNTIF($J$2:$J$201,J188)&gt;1),"Yes","No")</x:f>
        <x:v>No</x:v>
      </x:c>
      <x:c r="R188" s="506" t="str">
        <x:f>IF(F188="","Missing",IF(AND(ISNUMBER(SEARCH("@",F188)),ISNUMBER(SEARCH(".",F188))),"Valid","Invalid"))</x:f>
        <x:v>Valid</x:v>
      </x:c>
      <x:c r="S188" s="506" t="n">
        <x:f>IF(K188="Yes",1,0)+IF(L188="Yes",1,0)+IF(M188&lt;&gt;"Clean",1,0)+IF(O188&lt;&gt;"Confirmed",1,0)+IF(P188&lt;&gt;"Validated",1,0)+IF(Q188="Yes",1,0)+IF(R188&lt;&gt;"Valid",1,0)</x:f>
        <x:v>0</x:v>
      </x:c>
      <x:c r="T188" s="517" t="n">
        <x:f>MAX(0,1-S188/7)</x:f>
        <x:v>1</x:v>
      </x:c>
      <x:c r="U188" s="506" t="str">
        <x:f>IF(AND(K188="No",L188="No",M188="Clean",O188="Confirmed",P188="Validated",Q188="No",R188="Valid"),"Ready","Hold")</x:f>
        <x:v>Ready</x:v>
      </x:c>
      <x:c r="V188" s="507" t="str">
        <x:f>IF(U188="Ready","No action",IF(K188="Yes","Resolve duplicate and confirm surviving record",IF(L188="Yes","Populate and validate email","Complete remediation and validation")))</x:f>
        <x:v>No action</x:v>
      </x:c>
    </x:row>
    <x:row r="189">
      <x:c r="A189" s="505" t="n">
        <x:v>1189</x:v>
      </x:c>
      <x:c r="B189" s="506" t="str">
        <x:v>Emp189</x:v>
      </x:c>
      <x:c r="C189" s="506" t="str">
        <x:v>User189</x:v>
      </x:c>
      <x:c r="D189" s="506" t="str">
        <x:v>Australia</x:v>
      </x:c>
      <x:c r="E189" s="506" t="str">
        <x:v>Finance</x:v>
      </x:c>
      <x:c r="F189" s="506" t="str">
        <x:v>emp189@company.com</x:v>
      </x:c>
      <x:c r="G189" s="506" t="str">
        <x:v>emp189</x:v>
      </x:c>
      <x:c r="H189" s="506" t="str">
        <x:v>BHR189</x:v>
      </x:c>
      <x:c r="I189" s="506" t="str">
        <x:v>MAC189</x:v>
      </x:c>
      <x:c r="J189" s="506" t="str">
        <x:v>XY189</x:v>
      </x:c>
      <x:c r="K189" s="506" t="str">
        <x:v>No</x:v>
      </x:c>
      <x:c r="L189" s="506" t="str">
        <x:v>No</x:v>
      </x:c>
      <x:c r="M189" s="506" t="str">
        <x:v>Clean</x:v>
      </x:c>
      <x:c r="N189" s="506" t="str">
        <x:v>Xytech</x:v>
      </x:c>
      <x:c r="O189" s="506" t="str">
        <x:v>Confirmed</x:v>
      </x:c>
      <x:c r="P189" s="506" t="str">
        <x:v>Validated</x:v>
      </x:c>
      <x:c r="Q189" s="506" t="str">
        <x:f>IF(OR(COUNTIF($A$2:$A$201,A189)&gt;1,COUNTIF($G$2:$G$201,G189)&gt;1,AND(F189&lt;&gt;"",COUNTIF($F$2:$F$201,F189)&gt;1),COUNTIF($H$2:$H$201,H189)&gt;1,COUNTIF($I$2:$I$201,I189)&gt;1,COUNTIF($J$2:$J$201,J189)&gt;1),"Yes","No")</x:f>
        <x:v>No</x:v>
      </x:c>
      <x:c r="R189" s="506" t="str">
        <x:f>IF(F189="","Missing",IF(AND(ISNUMBER(SEARCH("@",F189)),ISNUMBER(SEARCH(".",F189))),"Valid","Invalid"))</x:f>
        <x:v>Valid</x:v>
      </x:c>
      <x:c r="S189" s="506" t="n">
        <x:f>IF(K189="Yes",1,0)+IF(L189="Yes",1,0)+IF(M189&lt;&gt;"Clean",1,0)+IF(O189&lt;&gt;"Confirmed",1,0)+IF(P189&lt;&gt;"Validated",1,0)+IF(Q189="Yes",1,0)+IF(R189&lt;&gt;"Valid",1,0)</x:f>
        <x:v>0</x:v>
      </x:c>
      <x:c r="T189" s="517" t="n">
        <x:f>MAX(0,1-S189/7)</x:f>
        <x:v>1</x:v>
      </x:c>
      <x:c r="U189" s="506" t="str">
        <x:f>IF(AND(K189="No",L189="No",M189="Clean",O189="Confirmed",P189="Validated",Q189="No",R189="Valid"),"Ready","Hold")</x:f>
        <x:v>Ready</x:v>
      </x:c>
      <x:c r="V189" s="507" t="str">
        <x:f>IF(U189="Ready","No action",IF(K189="Yes","Resolve duplicate and confirm surviving record",IF(L189="Yes","Populate and validate email","Complete remediation and validation")))</x:f>
        <x:v>No action</x:v>
      </x:c>
    </x:row>
    <x:row r="190">
      <x:c r="A190" s="505" t="n">
        <x:v>1190</x:v>
      </x:c>
      <x:c r="B190" s="506" t="str">
        <x:v>Emp190</x:v>
      </x:c>
      <x:c r="C190" s="506" t="str">
        <x:v>User190</x:v>
      </x:c>
      <x:c r="D190" s="506" t="str">
        <x:v>UAE</x:v>
      </x:c>
      <x:c r="E190" s="506" t="str">
        <x:v>IT</x:v>
      </x:c>
      <x:c r="F190" s="506" t="str">
        <x:v>emp190@company.com</x:v>
      </x:c>
      <x:c r="G190" s="506" t="str">
        <x:v>emp190</x:v>
      </x:c>
      <x:c r="H190" s="506" t="str">
        <x:v>BHR190</x:v>
      </x:c>
      <x:c r="I190" s="506" t="str">
        <x:v>MAC190</x:v>
      </x:c>
      <x:c r="J190" s="506" t="str">
        <x:v>XY190</x:v>
      </x:c>
      <x:c r="K190" s="506" t="str">
        <x:v>No</x:v>
      </x:c>
      <x:c r="L190" s="506" t="str">
        <x:v>No</x:v>
      </x:c>
      <x:c r="M190" s="506" t="str">
        <x:v>Clean</x:v>
      </x:c>
      <x:c r="N190" s="506" t="str">
        <x:v>BambooHR</x:v>
      </x:c>
      <x:c r="O190" s="506" t="str">
        <x:v>Confirmed</x:v>
      </x:c>
      <x:c r="P190" s="506" t="str">
        <x:v>Validated</x:v>
      </x:c>
      <x:c r="Q190" s="506" t="str">
        <x:f>IF(OR(COUNTIF($A$2:$A$201,A190)&gt;1,COUNTIF($G$2:$G$201,G190)&gt;1,AND(F190&lt;&gt;"",COUNTIF($F$2:$F$201,F190)&gt;1),COUNTIF($H$2:$H$201,H190)&gt;1,COUNTIF($I$2:$I$201,I190)&gt;1,COUNTIF($J$2:$J$201,J190)&gt;1),"Yes","No")</x:f>
        <x:v>No</x:v>
      </x:c>
      <x:c r="R190" s="506" t="str">
        <x:f>IF(F190="","Missing",IF(AND(ISNUMBER(SEARCH("@",F190)),ISNUMBER(SEARCH(".",F190))),"Valid","Invalid"))</x:f>
        <x:v>Valid</x:v>
      </x:c>
      <x:c r="S190" s="506" t="n">
        <x:f>IF(K190="Yes",1,0)+IF(L190="Yes",1,0)+IF(M190&lt;&gt;"Clean",1,0)+IF(O190&lt;&gt;"Confirmed",1,0)+IF(P190&lt;&gt;"Validated",1,0)+IF(Q190="Yes",1,0)+IF(R190&lt;&gt;"Valid",1,0)</x:f>
        <x:v>0</x:v>
      </x:c>
      <x:c r="T190" s="517" t="n">
        <x:f>MAX(0,1-S190/7)</x:f>
        <x:v>1</x:v>
      </x:c>
      <x:c r="U190" s="506" t="str">
        <x:f>IF(AND(K190="No",L190="No",M190="Clean",O190="Confirmed",P190="Validated",Q190="No",R190="Valid"),"Ready","Hold")</x:f>
        <x:v>Ready</x:v>
      </x:c>
      <x:c r="V190" s="507" t="str">
        <x:f>IF(U190="Ready","No action",IF(K190="Yes","Resolve duplicate and confirm surviving record",IF(L190="Yes","Populate and validate email","Complete remediation and validation")))</x:f>
        <x:v>No action</x:v>
      </x:c>
    </x:row>
    <x:row r="191">
      <x:c r="A191" s="505" t="n">
        <x:v>1191</x:v>
      </x:c>
      <x:c r="B191" s="506" t="str">
        <x:v>Emp191</x:v>
      </x:c>
      <x:c r="C191" s="506" t="str">
        <x:v>User191</x:v>
      </x:c>
      <x:c r="D191" s="506" t="str">
        <x:v>France</x:v>
      </x:c>
      <x:c r="E191" s="506" t="str">
        <x:v>Operations</x:v>
      </x:c>
      <x:c r="F191" s="506" t="str">
        <x:v>emp191@company.com</x:v>
      </x:c>
      <x:c r="G191" s="506" t="str">
        <x:v>emp191</x:v>
      </x:c>
      <x:c r="H191" s="506" t="str">
        <x:v>BHR191</x:v>
      </x:c>
      <x:c r="I191" s="506" t="str">
        <x:v>MAC191</x:v>
      </x:c>
      <x:c r="J191" s="506" t="str">
        <x:v>XY191</x:v>
      </x:c>
      <x:c r="K191" s="506" t="str">
        <x:v>No</x:v>
      </x:c>
      <x:c r="L191" s="506" t="str">
        <x:v>No</x:v>
      </x:c>
      <x:c r="M191" s="506" t="str">
        <x:v>Clean</x:v>
      </x:c>
      <x:c r="N191" s="506" t="str">
        <x:v>Active Directory</x:v>
      </x:c>
      <x:c r="O191" s="506" t="str">
        <x:v>Confirmed</x:v>
      </x:c>
      <x:c r="P191" s="506" t="str">
        <x:v>Validated</x:v>
      </x:c>
      <x:c r="Q191" s="506" t="str">
        <x:f>IF(OR(COUNTIF($A$2:$A$201,A191)&gt;1,COUNTIF($G$2:$G$201,G191)&gt;1,AND(F191&lt;&gt;"",COUNTIF($F$2:$F$201,F191)&gt;1),COUNTIF($H$2:$H$201,H191)&gt;1,COUNTIF($I$2:$I$201,I191)&gt;1,COUNTIF($J$2:$J$201,J191)&gt;1),"Yes","No")</x:f>
        <x:v>No</x:v>
      </x:c>
      <x:c r="R191" s="506" t="str">
        <x:f>IF(F191="","Missing",IF(AND(ISNUMBER(SEARCH("@",F191)),ISNUMBER(SEARCH(".",F191))),"Valid","Invalid"))</x:f>
        <x:v>Valid</x:v>
      </x:c>
      <x:c r="S191" s="506" t="n">
        <x:f>IF(K191="Yes",1,0)+IF(L191="Yes",1,0)+IF(M191&lt;&gt;"Clean",1,0)+IF(O191&lt;&gt;"Confirmed",1,0)+IF(P191&lt;&gt;"Validated",1,0)+IF(Q191="Yes",1,0)+IF(R191&lt;&gt;"Valid",1,0)</x:f>
        <x:v>0</x:v>
      </x:c>
      <x:c r="T191" s="517" t="n">
        <x:f>MAX(0,1-S191/7)</x:f>
        <x:v>1</x:v>
      </x:c>
      <x:c r="U191" s="506" t="str">
        <x:f>IF(AND(K191="No",L191="No",M191="Clean",O191="Confirmed",P191="Validated",Q191="No",R191="Valid"),"Ready","Hold")</x:f>
        <x:v>Ready</x:v>
      </x:c>
      <x:c r="V191" s="507" t="str">
        <x:f>IF(U191="Ready","No action",IF(K191="Yes","Resolve duplicate and confirm surviving record",IF(L191="Yes","Populate and validate email","Complete remediation and validation")))</x:f>
        <x:v>No action</x:v>
      </x:c>
    </x:row>
    <x:row r="192">
      <x:c r="A192" s="505" t="n">
        <x:v>1192</x:v>
      </x:c>
      <x:c r="B192" s="506" t="str">
        <x:v>Emp192</x:v>
      </x:c>
      <x:c r="C192" s="506" t="str">
        <x:v>User192</x:v>
      </x:c>
      <x:c r="D192" s="506" t="str">
        <x:v>Nigeria</x:v>
      </x:c>
      <x:c r="E192" s="506" t="str">
        <x:v>Sales</x:v>
      </x:c>
      <x:c r="F192" s="506" t="str">
        <x:v>emp192@company.com</x:v>
      </x:c>
      <x:c r="G192" s="506" t="str">
        <x:v>emp192</x:v>
      </x:c>
      <x:c r="H192" s="506" t="str">
        <x:v>BHR192</x:v>
      </x:c>
      <x:c r="I192" s="506" t="str">
        <x:v>MAC192</x:v>
      </x:c>
      <x:c r="J192" s="506" t="str">
        <x:v>XY192</x:v>
      </x:c>
      <x:c r="K192" s="506" t="str">
        <x:v>No</x:v>
      </x:c>
      <x:c r="L192" s="506" t="str">
        <x:v>No</x:v>
      </x:c>
      <x:c r="M192" s="506" t="str">
        <x:v>Clean</x:v>
      </x:c>
      <x:c r="N192" s="506" t="str">
        <x:v>Maconomy</x:v>
      </x:c>
      <x:c r="O192" s="506" t="str">
        <x:v>Confirmed</x:v>
      </x:c>
      <x:c r="P192" s="506" t="str">
        <x:v>Validated</x:v>
      </x:c>
      <x:c r="Q192" s="506" t="str">
        <x:f>IF(OR(COUNTIF($A$2:$A$201,A192)&gt;1,COUNTIF($G$2:$G$201,G192)&gt;1,AND(F192&lt;&gt;"",COUNTIF($F$2:$F$201,F192)&gt;1),COUNTIF($H$2:$H$201,H192)&gt;1,COUNTIF($I$2:$I$201,I192)&gt;1,COUNTIF($J$2:$J$201,J192)&gt;1),"Yes","No")</x:f>
        <x:v>No</x:v>
      </x:c>
      <x:c r="R192" s="506" t="str">
        <x:f>IF(F192="","Missing",IF(AND(ISNUMBER(SEARCH("@",F192)),ISNUMBER(SEARCH(".",F192))),"Valid","Invalid"))</x:f>
        <x:v>Valid</x:v>
      </x:c>
      <x:c r="S192" s="506" t="n">
        <x:f>IF(K192="Yes",1,0)+IF(L192="Yes",1,0)+IF(M192&lt;&gt;"Clean",1,0)+IF(O192&lt;&gt;"Confirmed",1,0)+IF(P192&lt;&gt;"Validated",1,0)+IF(Q192="Yes",1,0)+IF(R192&lt;&gt;"Valid",1,0)</x:f>
        <x:v>0</x:v>
      </x:c>
      <x:c r="T192" s="517" t="n">
        <x:f>MAX(0,1-S192/7)</x:f>
        <x:v>1</x:v>
      </x:c>
      <x:c r="U192" s="506" t="str">
        <x:f>IF(AND(K192="No",L192="No",M192="Clean",O192="Confirmed",P192="Validated",Q192="No",R192="Valid"),"Ready","Hold")</x:f>
        <x:v>Ready</x:v>
      </x:c>
      <x:c r="V192" s="507" t="str">
        <x:f>IF(U192="Ready","No action",IF(K192="Yes","Resolve duplicate and confirm surviving record",IF(L192="Yes","Populate and validate email","Complete remediation and validation")))</x:f>
        <x:v>No action</x:v>
      </x:c>
    </x:row>
    <x:row r="193">
      <x:c r="A193" s="505" t="n">
        <x:v>1193</x:v>
      </x:c>
      <x:c r="B193" s="506" t="str">
        <x:v>Emp193</x:v>
      </x:c>
      <x:c r="C193" s="506" t="str">
        <x:v>User193</x:v>
      </x:c>
      <x:c r="D193" s="506" t="str">
        <x:v>Gambia</x:v>
      </x:c>
      <x:c r="E193" s="506" t="str">
        <x:v>Marketing</x:v>
      </x:c>
      <x:c r="F193" s="506" t="str">
        <x:v>emp193@company.com</x:v>
      </x:c>
      <x:c r="G193" s="506" t="str">
        <x:v>emp193</x:v>
      </x:c>
      <x:c r="H193" s="506" t="str">
        <x:v>BHR193</x:v>
      </x:c>
      <x:c r="I193" s="506" t="str">
        <x:v>MAC193</x:v>
      </x:c>
      <x:c r="J193" s="506" t="str">
        <x:v>XY193</x:v>
      </x:c>
      <x:c r="K193" s="506" t="str">
        <x:v>No</x:v>
      </x:c>
      <x:c r="L193" s="506" t="str">
        <x:v>No</x:v>
      </x:c>
      <x:c r="M193" s="506" t="str">
        <x:v>Clean</x:v>
      </x:c>
      <x:c r="N193" s="506" t="str">
        <x:v>Xytech</x:v>
      </x:c>
      <x:c r="O193" s="506" t="str">
        <x:v>Confirmed</x:v>
      </x:c>
      <x:c r="P193" s="506" t="str">
        <x:v>Validated</x:v>
      </x:c>
      <x:c r="Q193" s="506" t="str">
        <x:f>IF(OR(COUNTIF($A$2:$A$201,A193)&gt;1,COUNTIF($G$2:$G$201,G193)&gt;1,AND(F193&lt;&gt;"",COUNTIF($F$2:$F$201,F193)&gt;1),COUNTIF($H$2:$H$201,H193)&gt;1,COUNTIF($I$2:$I$201,I193)&gt;1,COUNTIF($J$2:$J$201,J193)&gt;1),"Yes","No")</x:f>
        <x:v>No</x:v>
      </x:c>
      <x:c r="R193" s="506" t="str">
        <x:f>IF(F193="","Missing",IF(AND(ISNUMBER(SEARCH("@",F193)),ISNUMBER(SEARCH(".",F193))),"Valid","Invalid"))</x:f>
        <x:v>Valid</x:v>
      </x:c>
      <x:c r="S193" s="506" t="n">
        <x:f>IF(K193="Yes",1,0)+IF(L193="Yes",1,0)+IF(M193&lt;&gt;"Clean",1,0)+IF(O193&lt;&gt;"Confirmed",1,0)+IF(P193&lt;&gt;"Validated",1,0)+IF(Q193="Yes",1,0)+IF(R193&lt;&gt;"Valid",1,0)</x:f>
        <x:v>0</x:v>
      </x:c>
      <x:c r="T193" s="517" t="n">
        <x:f>MAX(0,1-S193/7)</x:f>
        <x:v>1</x:v>
      </x:c>
      <x:c r="U193" s="506" t="str">
        <x:f>IF(AND(K193="No",L193="No",M193="Clean",O193="Confirmed",P193="Validated",Q193="No",R193="Valid"),"Ready","Hold")</x:f>
        <x:v>Ready</x:v>
      </x:c>
      <x:c r="V193" s="507" t="str">
        <x:f>IF(U193="Ready","No action",IF(K193="Yes","Resolve duplicate and confirm surviving record",IF(L193="Yes","Populate and validate email","Complete remediation and validation")))</x:f>
        <x:v>No action</x:v>
      </x:c>
    </x:row>
    <x:row r="194">
      <x:c r="A194" s="505" t="n">
        <x:v>1194</x:v>
      </x:c>
      <x:c r="B194" s="506" t="str">
        <x:v>Emp194</x:v>
      </x:c>
      <x:c r="C194" s="506" t="str">
        <x:v>User194</x:v>
      </x:c>
      <x:c r="D194" s="506" t="str">
        <x:v>Spain</x:v>
      </x:c>
      <x:c r="E194" s="506" t="str">
        <x:v>HR</x:v>
      </x:c>
      <x:c r="F194" s="506" t="str">
        <x:v>emp194@company.com</x:v>
      </x:c>
      <x:c r="G194" s="506" t="str">
        <x:v>emp194</x:v>
      </x:c>
      <x:c r="H194" s="506" t="str">
        <x:v>BHR194</x:v>
      </x:c>
      <x:c r="I194" s="506" t="str">
        <x:v>MAC194</x:v>
      </x:c>
      <x:c r="J194" s="506" t="str">
        <x:v>XY194</x:v>
      </x:c>
      <x:c r="K194" s="506" t="str">
        <x:v>No</x:v>
      </x:c>
      <x:c r="L194" s="506" t="str">
        <x:v>No</x:v>
      </x:c>
      <x:c r="M194" s="506" t="str">
        <x:v>Clean</x:v>
      </x:c>
      <x:c r="N194" s="506" t="str">
        <x:v>BambooHR</x:v>
      </x:c>
      <x:c r="O194" s="506" t="str">
        <x:v>Confirmed</x:v>
      </x:c>
      <x:c r="P194" s="506" t="str">
        <x:v>Validated</x:v>
      </x:c>
      <x:c r="Q194" s="506" t="str">
        <x:f>IF(OR(COUNTIF($A$2:$A$201,A194)&gt;1,COUNTIF($G$2:$G$201,G194)&gt;1,AND(F194&lt;&gt;"",COUNTIF($F$2:$F$201,F194)&gt;1),COUNTIF($H$2:$H$201,H194)&gt;1,COUNTIF($I$2:$I$201,I194)&gt;1,COUNTIF($J$2:$J$201,J194)&gt;1),"Yes","No")</x:f>
        <x:v>No</x:v>
      </x:c>
      <x:c r="R194" s="506" t="str">
        <x:f>IF(F194="","Missing",IF(AND(ISNUMBER(SEARCH("@",F194)),ISNUMBER(SEARCH(".",F194))),"Valid","Invalid"))</x:f>
        <x:v>Valid</x:v>
      </x:c>
      <x:c r="S194" s="506" t="n">
        <x:f>IF(K194="Yes",1,0)+IF(L194="Yes",1,0)+IF(M194&lt;&gt;"Clean",1,0)+IF(O194&lt;&gt;"Confirmed",1,0)+IF(P194&lt;&gt;"Validated",1,0)+IF(Q194="Yes",1,0)+IF(R194&lt;&gt;"Valid",1,0)</x:f>
        <x:v>0</x:v>
      </x:c>
      <x:c r="T194" s="517" t="n">
        <x:f>MAX(0,1-S194/7)</x:f>
        <x:v>1</x:v>
      </x:c>
      <x:c r="U194" s="506" t="str">
        <x:f>IF(AND(K194="No",L194="No",M194="Clean",O194="Confirmed",P194="Validated",Q194="No",R194="Valid"),"Ready","Hold")</x:f>
        <x:v>Ready</x:v>
      </x:c>
      <x:c r="V194" s="507" t="str">
        <x:f>IF(U194="Ready","No action",IF(K194="Yes","Resolve duplicate and confirm surviving record",IF(L194="Yes","Populate and validate email","Complete remediation and validation")))</x:f>
        <x:v>No action</x:v>
      </x:c>
    </x:row>
    <x:row r="195">
      <x:c r="A195" s="505" t="n">
        <x:v>1195</x:v>
      </x:c>
      <x:c r="B195" s="506" t="str">
        <x:v>Emp195</x:v>
      </x:c>
      <x:c r="C195" s="506" t="str">
        <x:v>User195</x:v>
      </x:c>
      <x:c r="D195" s="506" t="str">
        <x:v>Netherlands</x:v>
      </x:c>
      <x:c r="E195" s="506" t="str">
        <x:v>Finance</x:v>
      </x:c>
      <x:c r="F195" s="506" t="str">
        <x:v>emp195@company.com</x:v>
      </x:c>
      <x:c r="G195" s="506" t="str">
        <x:v>emp195</x:v>
      </x:c>
      <x:c r="H195" s="506" t="str">
        <x:v>BHR195</x:v>
      </x:c>
      <x:c r="I195" s="506" t="str">
        <x:v>MAC195</x:v>
      </x:c>
      <x:c r="J195" s="506" t="str">
        <x:v>XY195</x:v>
      </x:c>
      <x:c r="K195" s="506" t="str">
        <x:v>No</x:v>
      </x:c>
      <x:c r="L195" s="506" t="str">
        <x:v>No</x:v>
      </x:c>
      <x:c r="M195" s="506" t="str">
        <x:v>Clean</x:v>
      </x:c>
      <x:c r="N195" s="506" t="str">
        <x:v>Active Directory</x:v>
      </x:c>
      <x:c r="O195" s="506" t="str">
        <x:v>Confirmed</x:v>
      </x:c>
      <x:c r="P195" s="506" t="str">
        <x:v>Validated</x:v>
      </x:c>
      <x:c r="Q195" s="506" t="str">
        <x:f>IF(OR(COUNTIF($A$2:$A$201,A195)&gt;1,COUNTIF($G$2:$G$201,G195)&gt;1,AND(F195&lt;&gt;"",COUNTIF($F$2:$F$201,F195)&gt;1),COUNTIF($H$2:$H$201,H195)&gt;1,COUNTIF($I$2:$I$201,I195)&gt;1,COUNTIF($J$2:$J$201,J195)&gt;1),"Yes","No")</x:f>
        <x:v>No</x:v>
      </x:c>
      <x:c r="R195" s="506" t="str">
        <x:f>IF(F195="","Missing",IF(AND(ISNUMBER(SEARCH("@",F195)),ISNUMBER(SEARCH(".",F195))),"Valid","Invalid"))</x:f>
        <x:v>Valid</x:v>
      </x:c>
      <x:c r="S195" s="506" t="n">
        <x:f>IF(K195="Yes",1,0)+IF(L195="Yes",1,0)+IF(M195&lt;&gt;"Clean",1,0)+IF(O195&lt;&gt;"Confirmed",1,0)+IF(P195&lt;&gt;"Validated",1,0)+IF(Q195="Yes",1,0)+IF(R195&lt;&gt;"Valid",1,0)</x:f>
        <x:v>0</x:v>
      </x:c>
      <x:c r="T195" s="517" t="n">
        <x:f>MAX(0,1-S195/7)</x:f>
        <x:v>1</x:v>
      </x:c>
      <x:c r="U195" s="506" t="str">
        <x:f>IF(AND(K195="No",L195="No",M195="Clean",O195="Confirmed",P195="Validated",Q195="No",R195="Valid"),"Ready","Hold")</x:f>
        <x:v>Ready</x:v>
      </x:c>
      <x:c r="V195" s="507" t="str">
        <x:f>IF(U195="Ready","No action",IF(K195="Yes","Resolve duplicate and confirm surviving record",IF(L195="Yes","Populate and validate email","Complete remediation and validation")))</x:f>
        <x:v>No action</x:v>
      </x:c>
    </x:row>
    <x:row r="196">
      <x:c r="A196" s="505" t="n">
        <x:v>1196</x:v>
      </x:c>
      <x:c r="B196" s="506" t="str">
        <x:v>Emp196</x:v>
      </x:c>
      <x:c r="C196" s="506" t="str">
        <x:v>User196</x:v>
      </x:c>
      <x:c r="D196" s="506" t="str">
        <x:v>Singapore</x:v>
      </x:c>
      <x:c r="E196" s="506" t="str">
        <x:v>IT</x:v>
      </x:c>
      <x:c r="F196" s="506" t="str">
        <x:v>emp196@company.com</x:v>
      </x:c>
      <x:c r="G196" s="506" t="str">
        <x:v>emp196</x:v>
      </x:c>
      <x:c r="H196" s="506" t="str">
        <x:v>BHR196</x:v>
      </x:c>
      <x:c r="I196" s="506" t="str">
        <x:v>MAC196</x:v>
      </x:c>
      <x:c r="J196" s="506" t="str">
        <x:v>XY196</x:v>
      </x:c>
      <x:c r="K196" s="506" t="str">
        <x:v>No</x:v>
      </x:c>
      <x:c r="L196" s="506" t="str">
        <x:v>No</x:v>
      </x:c>
      <x:c r="M196" s="506" t="str">
        <x:v>Clean</x:v>
      </x:c>
      <x:c r="N196" s="506" t="str">
        <x:v>Maconomy</x:v>
      </x:c>
      <x:c r="O196" s="506" t="str">
        <x:v>Confirmed</x:v>
      </x:c>
      <x:c r="P196" s="506" t="str">
        <x:v>Validated</x:v>
      </x:c>
      <x:c r="Q196" s="506" t="str">
        <x:f>IF(OR(COUNTIF($A$2:$A$201,A196)&gt;1,COUNTIF($G$2:$G$201,G196)&gt;1,AND(F196&lt;&gt;"",COUNTIF($F$2:$F$201,F196)&gt;1),COUNTIF($H$2:$H$201,H196)&gt;1,COUNTIF($I$2:$I$201,I196)&gt;1,COUNTIF($J$2:$J$201,J196)&gt;1),"Yes","No")</x:f>
        <x:v>No</x:v>
      </x:c>
      <x:c r="R196" s="506" t="str">
        <x:f>IF(F196="","Missing",IF(AND(ISNUMBER(SEARCH("@",F196)),ISNUMBER(SEARCH(".",F196))),"Valid","Invalid"))</x:f>
        <x:v>Valid</x:v>
      </x:c>
      <x:c r="S196" s="506" t="n">
        <x:f>IF(K196="Yes",1,0)+IF(L196="Yes",1,0)+IF(M196&lt;&gt;"Clean",1,0)+IF(O196&lt;&gt;"Confirmed",1,0)+IF(P196&lt;&gt;"Validated",1,0)+IF(Q196="Yes",1,0)+IF(R196&lt;&gt;"Valid",1,0)</x:f>
        <x:v>0</x:v>
      </x:c>
      <x:c r="T196" s="517" t="n">
        <x:f>MAX(0,1-S196/7)</x:f>
        <x:v>1</x:v>
      </x:c>
      <x:c r="U196" s="506" t="str">
        <x:f>IF(AND(K196="No",L196="No",M196="Clean",O196="Confirmed",P196="Validated",Q196="No",R196="Valid"),"Ready","Hold")</x:f>
        <x:v>Ready</x:v>
      </x:c>
      <x:c r="V196" s="507" t="str">
        <x:f>IF(U196="Ready","No action",IF(K196="Yes","Resolve duplicate and confirm surviving record",IF(L196="Yes","Populate and validate email","Complete remediation and validation")))</x:f>
        <x:v>No action</x:v>
      </x:c>
    </x:row>
    <x:row r="197">
      <x:c r="A197" s="505" t="n">
        <x:v>1197</x:v>
      </x:c>
      <x:c r="B197" s="506" t="str">
        <x:v>Emp197</x:v>
      </x:c>
      <x:c r="C197" s="506" t="str">
        <x:v>User197</x:v>
      </x:c>
      <x:c r="D197" s="506" t="str">
        <x:v>Brazil</x:v>
      </x:c>
      <x:c r="E197" s="506" t="str">
        <x:v>Operations</x:v>
      </x:c>
      <x:c r="F197" s="506" t="str">
        <x:v>emp197@company.com</x:v>
      </x:c>
      <x:c r="G197" s="506" t="str">
        <x:v>emp197</x:v>
      </x:c>
      <x:c r="H197" s="506" t="str">
        <x:v>BHR197</x:v>
      </x:c>
      <x:c r="I197" s="506" t="str">
        <x:v>MAC197</x:v>
      </x:c>
      <x:c r="J197" s="506" t="str">
        <x:v>XY197</x:v>
      </x:c>
      <x:c r="K197" s="506" t="str">
        <x:v>No</x:v>
      </x:c>
      <x:c r="L197" s="506" t="str">
        <x:v>No</x:v>
      </x:c>
      <x:c r="M197" s="506" t="str">
        <x:v>Clean</x:v>
      </x:c>
      <x:c r="N197" s="506" t="str">
        <x:v>Xytech</x:v>
      </x:c>
      <x:c r="O197" s="506" t="str">
        <x:v>Confirmed</x:v>
      </x:c>
      <x:c r="P197" s="506" t="str">
        <x:v>Validated</x:v>
      </x:c>
      <x:c r="Q197" s="506" t="str">
        <x:f>IF(OR(COUNTIF($A$2:$A$201,A197)&gt;1,COUNTIF($G$2:$G$201,G197)&gt;1,AND(F197&lt;&gt;"",COUNTIF($F$2:$F$201,F197)&gt;1),COUNTIF($H$2:$H$201,H197)&gt;1,COUNTIF($I$2:$I$201,I197)&gt;1,COUNTIF($J$2:$J$201,J197)&gt;1),"Yes","No")</x:f>
        <x:v>No</x:v>
      </x:c>
      <x:c r="R197" s="506" t="str">
        <x:f>IF(F197="","Missing",IF(AND(ISNUMBER(SEARCH("@",F197)),ISNUMBER(SEARCH(".",F197))),"Valid","Invalid"))</x:f>
        <x:v>Valid</x:v>
      </x:c>
      <x:c r="S197" s="506" t="n">
        <x:f>IF(K197="Yes",1,0)+IF(L197="Yes",1,0)+IF(M197&lt;&gt;"Clean",1,0)+IF(O197&lt;&gt;"Confirmed",1,0)+IF(P197&lt;&gt;"Validated",1,0)+IF(Q197="Yes",1,0)+IF(R197&lt;&gt;"Valid",1,0)</x:f>
        <x:v>0</x:v>
      </x:c>
      <x:c r="T197" s="517" t="n">
        <x:f>MAX(0,1-S197/7)</x:f>
        <x:v>1</x:v>
      </x:c>
      <x:c r="U197" s="506" t="str">
        <x:f>IF(AND(K197="No",L197="No",M197="Clean",O197="Confirmed",P197="Validated",Q197="No",R197="Valid"),"Ready","Hold")</x:f>
        <x:v>Ready</x:v>
      </x:c>
      <x:c r="V197" s="507" t="str">
        <x:f>IF(U197="Ready","No action",IF(K197="Yes","Resolve duplicate and confirm surviving record",IF(L197="Yes","Populate and validate email","Complete remediation and validation")))</x:f>
        <x:v>No action</x:v>
      </x:c>
    </x:row>
    <x:row r="198">
      <x:c r="A198" s="505" t="n">
        <x:v>1198</x:v>
      </x:c>
      <x:c r="B198" s="506" t="str">
        <x:v>Emp198</x:v>
      </x:c>
      <x:c r="C198" s="506" t="str">
        <x:v>User198</x:v>
      </x:c>
      <x:c r="D198" s="506" t="str">
        <x:v>UK</x:v>
      </x:c>
      <x:c r="E198" s="506" t="str">
        <x:v>Sales</x:v>
      </x:c>
      <x:c r="F198" s="506" t="str">
        <x:v>emp198@company.com</x:v>
      </x:c>
      <x:c r="G198" s="506" t="str">
        <x:v>emp198</x:v>
      </x:c>
      <x:c r="H198" s="506" t="str">
        <x:v>BHR198</x:v>
      </x:c>
      <x:c r="I198" s="506" t="str">
        <x:v>MAC198</x:v>
      </x:c>
      <x:c r="J198" s="506" t="str">
        <x:v>XY198</x:v>
      </x:c>
      <x:c r="K198" s="506" t="str">
        <x:v>No</x:v>
      </x:c>
      <x:c r="L198" s="506" t="str">
        <x:v>No</x:v>
      </x:c>
      <x:c r="M198" s="506" t="str">
        <x:v>Clean</x:v>
      </x:c>
      <x:c r="N198" s="506" t="str">
        <x:v>BambooHR</x:v>
      </x:c>
      <x:c r="O198" s="506" t="str">
        <x:v>Confirmed</x:v>
      </x:c>
      <x:c r="P198" s="506" t="str">
        <x:v>Validated</x:v>
      </x:c>
      <x:c r="Q198" s="506" t="str">
        <x:f>IF(OR(COUNTIF($A$2:$A$201,A198)&gt;1,COUNTIF($G$2:$G$201,G198)&gt;1,AND(F198&lt;&gt;"",COUNTIF($F$2:$F$201,F198)&gt;1),COUNTIF($H$2:$H$201,H198)&gt;1,COUNTIF($I$2:$I$201,I198)&gt;1,COUNTIF($J$2:$J$201,J198)&gt;1),"Yes","No")</x:f>
        <x:v>No</x:v>
      </x:c>
      <x:c r="R198" s="506" t="str">
        <x:f>IF(F198="","Missing",IF(AND(ISNUMBER(SEARCH("@",F198)),ISNUMBER(SEARCH(".",F198))),"Valid","Invalid"))</x:f>
        <x:v>Valid</x:v>
      </x:c>
      <x:c r="S198" s="506" t="n">
        <x:f>IF(K198="Yes",1,0)+IF(L198="Yes",1,0)+IF(M198&lt;&gt;"Clean",1,0)+IF(O198&lt;&gt;"Confirmed",1,0)+IF(P198&lt;&gt;"Validated",1,0)+IF(Q198="Yes",1,0)+IF(R198&lt;&gt;"Valid",1,0)</x:f>
        <x:v>0</x:v>
      </x:c>
      <x:c r="T198" s="517" t="n">
        <x:f>MAX(0,1-S198/7)</x:f>
        <x:v>1</x:v>
      </x:c>
      <x:c r="U198" s="506" t="str">
        <x:f>IF(AND(K198="No",L198="No",M198="Clean",O198="Confirmed",P198="Validated",Q198="No",R198="Valid"),"Ready","Hold")</x:f>
        <x:v>Ready</x:v>
      </x:c>
      <x:c r="V198" s="507" t="str">
        <x:f>IF(U198="Ready","No action",IF(K198="Yes","Resolve duplicate and confirm surviving record",IF(L198="Yes","Populate and validate email","Complete remediation and validation")))</x:f>
        <x:v>No action</x:v>
      </x:c>
    </x:row>
    <x:row r="199">
      <x:c r="A199" s="505" t="n">
        <x:v>1199</x:v>
      </x:c>
      <x:c r="B199" s="506" t="str">
        <x:v>Emp199</x:v>
      </x:c>
      <x:c r="C199" s="506" t="str">
        <x:v>User199</x:v>
      </x:c>
      <x:c r="D199" s="506" t="str">
        <x:v>USA</x:v>
      </x:c>
      <x:c r="E199" s="506" t="str">
        <x:v>Marketing</x:v>
      </x:c>
      <x:c r="F199" s="506" t="str">
        <x:v>emp199@company.com</x:v>
      </x:c>
      <x:c r="G199" s="506" t="str">
        <x:v>emp199</x:v>
      </x:c>
      <x:c r="H199" s="506" t="str">
        <x:v>BHR199</x:v>
      </x:c>
      <x:c r="I199" s="506" t="str">
        <x:v>MAC199</x:v>
      </x:c>
      <x:c r="J199" s="506" t="str">
        <x:v>XY199</x:v>
      </x:c>
      <x:c r="K199" s="506" t="str">
        <x:v>No</x:v>
      </x:c>
      <x:c r="L199" s="506" t="str">
        <x:v>No</x:v>
      </x:c>
      <x:c r="M199" s="506" t="str">
        <x:v>Clean</x:v>
      </x:c>
      <x:c r="N199" s="506" t="str">
        <x:v>Active Directory</x:v>
      </x:c>
      <x:c r="O199" s="506" t="str">
        <x:v>Confirmed</x:v>
      </x:c>
      <x:c r="P199" s="506" t="str">
        <x:v>Validated</x:v>
      </x:c>
      <x:c r="Q199" s="506" t="str">
        <x:f>IF(OR(COUNTIF($A$2:$A$201,A199)&gt;1,COUNTIF($G$2:$G$201,G199)&gt;1,AND(F199&lt;&gt;"",COUNTIF($F$2:$F$201,F199)&gt;1),COUNTIF($H$2:$H$201,H199)&gt;1,COUNTIF($I$2:$I$201,I199)&gt;1,COUNTIF($J$2:$J$201,J199)&gt;1),"Yes","No")</x:f>
        <x:v>No</x:v>
      </x:c>
      <x:c r="R199" s="506" t="str">
        <x:f>IF(F199="","Missing",IF(AND(ISNUMBER(SEARCH("@",F199)),ISNUMBER(SEARCH(".",F199))),"Valid","Invalid"))</x:f>
        <x:v>Valid</x:v>
      </x:c>
      <x:c r="S199" s="506" t="n">
        <x:f>IF(K199="Yes",1,0)+IF(L199="Yes",1,0)+IF(M199&lt;&gt;"Clean",1,0)+IF(O199&lt;&gt;"Confirmed",1,0)+IF(P199&lt;&gt;"Validated",1,0)+IF(Q199="Yes",1,0)+IF(R199&lt;&gt;"Valid",1,0)</x:f>
        <x:v>0</x:v>
      </x:c>
      <x:c r="T199" s="517" t="n">
        <x:f>MAX(0,1-S199/7)</x:f>
        <x:v>1</x:v>
      </x:c>
      <x:c r="U199" s="506" t="str">
        <x:f>IF(AND(K199="No",L199="No",M199="Clean",O199="Confirmed",P199="Validated",Q199="No",R199="Valid"),"Ready","Hold")</x:f>
        <x:v>Ready</x:v>
      </x:c>
      <x:c r="V199" s="507" t="str">
        <x:f>IF(U199="Ready","No action",IF(K199="Yes","Resolve duplicate and confirm surviving record",IF(L199="Yes","Populate and validate email","Complete remediation and validation")))</x:f>
        <x:v>No action</x:v>
      </x:c>
    </x:row>
    <x:row r="200">
      <x:c r="A200" s="505" t="n">
        <x:v>1200</x:v>
      </x:c>
      <x:c r="B200" s="506" t="str">
        <x:v>Emp200</x:v>
      </x:c>
      <x:c r="C200" s="506" t="str">
        <x:v>User200</x:v>
      </x:c>
      <x:c r="D200" s="506" t="str">
        <x:v>Canada</x:v>
      </x:c>
      <x:c r="E200" s="506" t="str">
        <x:v>HR</x:v>
      </x:c>
      <x:c r="F200" s="506" t="str">
        <x:v>emp200@company.com</x:v>
      </x:c>
      <x:c r="G200" s="506" t="str">
        <x:v>emp200</x:v>
      </x:c>
      <x:c r="H200" s="506" t="str">
        <x:v>BHR200</x:v>
      </x:c>
      <x:c r="I200" s="506" t="str">
        <x:v>MAC200</x:v>
      </x:c>
      <x:c r="J200" s="506" t="str">
        <x:v>XY200</x:v>
      </x:c>
      <x:c r="K200" s="506" t="str">
        <x:v>No</x:v>
      </x:c>
      <x:c r="L200" s="506" t="str">
        <x:v>No</x:v>
      </x:c>
      <x:c r="M200" s="506" t="str">
        <x:v>Clean</x:v>
      </x:c>
      <x:c r="N200" s="506" t="str">
        <x:v>Maconomy</x:v>
      </x:c>
      <x:c r="O200" s="506" t="str">
        <x:v>Confirmed</x:v>
      </x:c>
      <x:c r="P200" s="506" t="str">
        <x:v>Validated</x:v>
      </x:c>
      <x:c r="Q200" s="506" t="str">
        <x:f>IF(OR(COUNTIF($A$2:$A$201,A200)&gt;1,COUNTIF($G$2:$G$201,G200)&gt;1,AND(F200&lt;&gt;"",COUNTIF($F$2:$F$201,F200)&gt;1),COUNTIF($H$2:$H$201,H200)&gt;1,COUNTIF($I$2:$I$201,I200)&gt;1,COUNTIF($J$2:$J$201,J200)&gt;1),"Yes","No")</x:f>
        <x:v>No</x:v>
      </x:c>
      <x:c r="R200" s="506" t="str">
        <x:f>IF(F200="","Missing",IF(AND(ISNUMBER(SEARCH("@",F200)),ISNUMBER(SEARCH(".",F200))),"Valid","Invalid"))</x:f>
        <x:v>Valid</x:v>
      </x:c>
      <x:c r="S200" s="506" t="n">
        <x:f>IF(K200="Yes",1,0)+IF(L200="Yes",1,0)+IF(M200&lt;&gt;"Clean",1,0)+IF(O200&lt;&gt;"Confirmed",1,0)+IF(P200&lt;&gt;"Validated",1,0)+IF(Q200="Yes",1,0)+IF(R200&lt;&gt;"Valid",1,0)</x:f>
        <x:v>0</x:v>
      </x:c>
      <x:c r="T200" s="517" t="n">
        <x:f>MAX(0,1-S200/7)</x:f>
        <x:v>1</x:v>
      </x:c>
      <x:c r="U200" s="506" t="str">
        <x:f>IF(AND(K200="No",L200="No",M200="Clean",O200="Confirmed",P200="Validated",Q200="No",R200="Valid"),"Ready","Hold")</x:f>
        <x:v>Ready</x:v>
      </x:c>
      <x:c r="V200" s="507" t="str">
        <x:f>IF(U200="Ready","No action",IF(K200="Yes","Resolve duplicate and confirm surviving record",IF(L200="Yes","Populate and validate email","Complete remediation and validation")))</x:f>
        <x:v>No action</x:v>
      </x:c>
    </x:row>
    <x:row r="201">
      <x:c r="A201" s="508" t="n">
        <x:v>1201</x:v>
      </x:c>
      <x:c r="B201" s="509" t="str">
        <x:v>Emp201</x:v>
      </x:c>
      <x:c r="C201" s="509" t="str">
        <x:v>User201</x:v>
      </x:c>
      <x:c r="D201" s="509" t="str">
        <x:v>Germany</x:v>
      </x:c>
      <x:c r="E201" s="509" t="str">
        <x:v>Finance</x:v>
      </x:c>
      <x:c r="F201" s="509" t="str">
        <x:v>emp201@company.com</x:v>
      </x:c>
      <x:c r="G201" s="509" t="str">
        <x:v>emp201</x:v>
      </x:c>
      <x:c r="H201" s="509" t="str">
        <x:v>BHR201</x:v>
      </x:c>
      <x:c r="I201" s="509" t="str">
        <x:v>MAC201</x:v>
      </x:c>
      <x:c r="J201" s="509" t="str">
        <x:v>XY201</x:v>
      </x:c>
      <x:c r="K201" s="509" t="str">
        <x:v>No</x:v>
      </x:c>
      <x:c r="L201" s="509" t="str">
        <x:v>No</x:v>
      </x:c>
      <x:c r="M201" s="509" t="str">
        <x:v>Clean</x:v>
      </x:c>
      <x:c r="N201" s="509" t="str">
        <x:v>Xytech</x:v>
      </x:c>
      <x:c r="O201" s="509" t="str">
        <x:v>Confirmed</x:v>
      </x:c>
      <x:c r="P201" s="509" t="str">
        <x:v>Validated</x:v>
      </x:c>
      <x:c r="Q201" s="509" t="str">
        <x:f>IF(OR(COUNTIF($A$2:$A$201,A201)&gt;1,COUNTIF($G$2:$G$201,G201)&gt;1,AND(F201&lt;&gt;"",COUNTIF($F$2:$F$201,F201)&gt;1),COUNTIF($H$2:$H$201,H201)&gt;1,COUNTIF($I$2:$I$201,I201)&gt;1,COUNTIF($J$2:$J$201,J201)&gt;1),"Yes","No")</x:f>
        <x:v>No</x:v>
      </x:c>
      <x:c r="R201" s="509" t="str">
        <x:f>IF(F201="","Missing",IF(AND(ISNUMBER(SEARCH("@",F201)),ISNUMBER(SEARCH(".",F201))),"Valid","Invalid"))</x:f>
        <x:v>Valid</x:v>
      </x:c>
      <x:c r="S201" s="509" t="n">
        <x:f>IF(K201="Yes",1,0)+IF(L201="Yes",1,0)+IF(M201&lt;&gt;"Clean",1,0)+IF(O201&lt;&gt;"Confirmed",1,0)+IF(P201&lt;&gt;"Validated",1,0)+IF(Q201="Yes",1,0)+IF(R201&lt;&gt;"Valid",1,0)</x:f>
        <x:v>0</x:v>
      </x:c>
      <x:c r="T201" s="518" t="n">
        <x:f>MAX(0,1-S201/7)</x:f>
        <x:v>1</x:v>
      </x:c>
      <x:c r="U201" s="509" t="str">
        <x:f>IF(AND(K201="No",L201="No",M201="Clean",O201="Confirmed",P201="Validated",Q201="No",R201="Valid"),"Ready","Hold")</x:f>
        <x:v>Ready</x:v>
      </x:c>
      <x:c r="V201" s="510" t="str">
        <x:f>IF(U201="Ready","No action",IF(K201="Yes","Resolve duplicate and confirm surviving record",IF(L201="Yes","Populate and validate email","Complete remediation and validation")))</x:f>
        <x:v>No action</x:v>
      </x:c>
    </x:row>
  </x:sheetData>
  <x:conditionalFormatting sqref="K2:K201">
    <x:cfRule type="expression" dxfId="0" priority="1">
      <x:formula>K2="Yes"</x:formula>
    </x:cfRule>
  </x:conditionalFormatting>
  <x:conditionalFormatting sqref="L2:L201">
    <x:cfRule type="expression" dxfId="1" priority="2">
      <x:formula>L2="Yes"</x:formula>
    </x:cfRule>
  </x:conditionalFormatting>
  <x:conditionalFormatting sqref="M2:M201">
    <x:cfRule type="expression" dxfId="2" priority="3">
      <x:formula>M2="Issue"</x:formula>
    </x:cfRule>
  </x:conditionalFormatting>
  <x:conditionalFormatting sqref="O2:P201">
    <x:cfRule type="expression" dxfId="3" priority="4">
      <x:formula>O2="Pending"</x:formula>
    </x:cfRule>
  </x:conditionalFormatting>
  <x:conditionalFormatting sqref="U2:U201">
    <x:cfRule type="expression" dxfId="4" priority="5">
      <x:formula>U2="Hold"</x:formula>
    </x:cfRule>
    <x:cfRule type="expression" dxfId="5" priority="6">
      <x:formula>U2="Ready"</x:formula>
    </x:cfRule>
  </x:conditionalFormatting>
  <x:conditionalFormatting sqref="T2:T201">
    <x:cfRule type="colorScale" priority="7">
      <x:colorScale>
        <x:cfvo type="min"/>
        <x:cfvo type="percentile" val="50"/>
        <x:cfvo type="max"/>
        <x:color rgb="FFF4CCCC"/>
        <x:color rgb="FFFFF2CC"/>
        <x:color rgb="FFE2F0D9"/>
      </x:colorScale>
    </x:cfRule>
  </x:conditionalFormatting>
  <x:pageMargins left="0.7" right="0.7" top="0.75" bottom="0.75" header="0.3" footer="0.3"/>
  <x:tableParts count="1">
    <x:tablePart xmlns:r="http://schemas.openxmlformats.org/officeDocument/2006/relationships" r:id="R7c5b03f525b146fe"/>
  </x:tableParts>
</x:worksheet>
</file>

<file path=xl/worksheets/sheet7.xml><?xml version="1.0" encoding="utf-8"?>
<x:worksheet xmlns:x="http://schemas.openxmlformats.org/spreadsheetml/2006/main">
  <x:sheetFormatPr defaultRowHeight="15"/>
  <x:cols>
    <x:col min="1" max="1" width="11" hidden="0" customWidth="1"/>
    <x:col min="2" max="2" width="24" hidden="0" customWidth="1"/>
    <x:col min="3" max="3" width="28" hidden="0" customWidth="1"/>
    <x:col min="4" max="4" width="54" hidden="0" customWidth="1"/>
    <x:col min="5" max="5" width="12" hidden="0" customWidth="1"/>
    <x:col min="6" max="6" width="14" hidden="0" customWidth="1"/>
    <x:col min="7" max="7" width="12" hidden="0" customWidth="1"/>
    <x:col min="8" max="8" width="11" hidden="0" customWidth="1"/>
    <x:col min="9" max="9" width="18" hidden="0" customWidth="1"/>
    <x:col min="10" max="10" width="48" hidden="0" customWidth="1"/>
  </x:cols>
  <x:sheetData>
    <x:row r="1">
      <x:c r="A1" s="5" t="str">
        <x:v>Data Quality Rule Catalogue</x:v>
      </x:c>
      <x:c r="B1" s="5"/>
      <x:c r="C1" s="5"/>
      <x:c r="D1" s="5"/>
      <x:c r="E1" s="5"/>
      <x:c r="F1" s="5"/>
      <x:c r="G1" s="5"/>
      <x:c r="H1" s="5"/>
      <x:c r="I1" s="5"/>
      <x:c r="J1" s="5"/>
    </x:row>
    <x:row r="2">
      <x:c r="A2" s="5"/>
      <x:c r="B2" s="5"/>
      <x:c r="C2" s="5"/>
      <x:c r="D2" s="5"/>
      <x:c r="E2" s="5"/>
      <x:c r="F2" s="5"/>
      <x:c r="G2" s="5"/>
      <x:c r="H2" s="5"/>
      <x:c r="I2" s="5"/>
      <x:c r="J2" s="5"/>
    </x:row>
    <x:row r="3">
      <x:c r="A3" s="11" t="str">
        <x:v>Assessment rules applied to the uploaded People_Data dataset</x:v>
      </x:c>
      <x:c r="B3" s="11"/>
      <x:c r="C3" s="11"/>
      <x:c r="D3" s="11"/>
      <x:c r="E3" s="11"/>
      <x:c r="F3" s="11"/>
      <x:c r="G3" s="11"/>
      <x:c r="H3" s="11"/>
      <x:c r="I3" s="11"/>
      <x:c r="J3" s="11"/>
    </x:row>
    <x:row r="5">
      <x:c r="A5" s="499" t="str">
        <x:v>Rule_ID</x:v>
      </x:c>
      <x:c r="B5" s="500" t="str">
        <x:v>Dimension</x:v>
      </x:c>
      <x:c r="C5" s="500" t="str">
        <x:v>Field(s)</x:v>
      </x:c>
      <x:c r="D5" s="500" t="str">
        <x:v>Rule Definition</x:v>
      </x:c>
      <x:c r="E5" s="500" t="str">
        <x:v>Criticality</x:v>
      </x:c>
      <x:c r="F5" s="500" t="str">
        <x:v>Failed Records</x:v>
      </x:c>
      <x:c r="G5" s="500" t="str">
        <x:v>Pass Rate</x:v>
      </x:c>
      <x:c r="H5" s="500" t="str">
        <x:v>Status</x:v>
      </x:c>
      <x:c r="I5" s="500" t="str">
        <x:v>Proposed Owner</x:v>
      </x:c>
      <x:c r="J5" s="501" t="str">
        <x:v>Remediation / Control</x:v>
      </x:c>
    </x:row>
    <x:row r="6">
      <x:c r="A6" s="27" t="str">
        <x:v>DQ-001</x:v>
      </x:c>
      <x:c r="B6" s="28" t="str">
        <x:v>Completeness / Uniqueness</x:v>
      </x:c>
      <x:c r="C6" s="28" t="str">
        <x:v>Employee_ID</x:v>
      </x:c>
      <x:c r="D6" s="45" t="str">
        <x:v>Must be populated and unique.</x:v>
      </x:c>
      <x:c r="E6" s="45" t="str">
        <x:v>Critical</x:v>
      </x:c>
      <x:c r="F6" s="45" t="n">
        <x:v>0</x:v>
      </x:c>
      <x:c r="G6" s="525" t="n">
        <x:f>1-F6/200</x:f>
        <x:v>1</x:v>
      </x:c>
      <x:c r="H6" s="45" t="str">
        <x:v>Pass</x:v>
      </x:c>
      <x:c r="I6" s="45" t="str">
        <x:v>Data Steward</x:v>
      </x:c>
      <x:c r="J6" s="46" t="str">
        <x:v>Reject blanks or duplicates before load.</x:v>
      </x:c>
    </x:row>
    <x:row r="7">
      <x:c r="A7" s="27" t="str">
        <x:v>DQ-002</x:v>
      </x:c>
      <x:c r="B7" s="28" t="str">
        <x:v>Completeness</x:v>
      </x:c>
      <x:c r="C7" s="28" t="str">
        <x:v>First_Name, Last_Name</x:v>
      </x:c>
      <x:c r="D7" s="45" t="str">
        <x:v>Both name fields must be populated.</x:v>
      </x:c>
      <x:c r="E7" s="45" t="str">
        <x:v>High</x:v>
      </x:c>
      <x:c r="F7" s="45" t="n">
        <x:v>0</x:v>
      </x:c>
      <x:c r="G7" s="525" t="n">
        <x:f>1-F7/200</x:f>
        <x:v>1</x:v>
      </x:c>
      <x:c r="H7" s="45" t="str">
        <x:v>Pass</x:v>
      </x:c>
      <x:c r="I7" s="45" t="str">
        <x:v>HR Data Owner</x:v>
      </x:c>
      <x:c r="J7" s="46" t="str">
        <x:v>Correct from authoritative HR source.</x:v>
      </x:c>
    </x:row>
    <x:row r="8">
      <x:c r="A8" s="27" t="str">
        <x:v>DQ-003</x:v>
      </x:c>
      <x:c r="B8" s="28" t="str">
        <x:v>Validity</x:v>
      </x:c>
      <x:c r="C8" s="28" t="str">
        <x:v>Country</x:v>
      </x:c>
      <x:c r="D8" s="45" t="str">
        <x:v>Must be populated and use an approved country value (14 observed).</x:v>
      </x:c>
      <x:c r="E8" s="45" t="str">
        <x:v>Medium</x:v>
      </x:c>
      <x:c r="F8" s="45" t="n">
        <x:v>0</x:v>
      </x:c>
      <x:c r="G8" s="525" t="n">
        <x:f>1-F8/200</x:f>
        <x:v>1</x:v>
      </x:c>
      <x:c r="H8" s="45" t="str">
        <x:v>Pass</x:v>
      </x:c>
      <x:c r="I8" s="45" t="str">
        <x:v>Data Steward</x:v>
      </x:c>
      <x:c r="J8" s="46" t="str">
        <x:v>Standardise to controlled country reference data.</x:v>
      </x:c>
    </x:row>
    <x:row r="9">
      <x:c r="A9" s="27" t="str">
        <x:v>DQ-004</x:v>
      </x:c>
      <x:c r="B9" s="28" t="str">
        <x:v>Validity</x:v>
      </x:c>
      <x:c r="C9" s="28" t="str">
        <x:v>Department</x:v>
      </x:c>
      <x:c r="D9" s="45" t="str">
        <x:v>Must be populated and use an approved department value (6 observed).</x:v>
      </x:c>
      <x:c r="E9" s="45" t="str">
        <x:v>Medium</x:v>
      </x:c>
      <x:c r="F9" s="45" t="n">
        <x:v>0</x:v>
      </x:c>
      <x:c r="G9" s="525" t="n">
        <x:f>1-F9/200</x:f>
        <x:v>1</x:v>
      </x:c>
      <x:c r="H9" s="45" t="str">
        <x:v>Pass</x:v>
      </x:c>
      <x:c r="I9" s="45" t="str">
        <x:v>HR Data Owner</x:v>
      </x:c>
      <x:c r="J9" s="46" t="str">
        <x:v>Map to controlled department reference data.</x:v>
      </x:c>
    </x:row>
    <x:row r="10">
      <x:c r="A10" s="27" t="str">
        <x:v>DQ-005</x:v>
      </x:c>
      <x:c r="B10" s="28" t="str">
        <x:v>Completeness / Validity</x:v>
      </x:c>
      <x:c r="C10" s="28" t="str">
        <x:v>Email</x:v>
      </x:c>
      <x:c r="D10" s="45" t="str">
        <x:v>Must be populated, structurally valid and unique when present.</x:v>
      </x:c>
      <x:c r="E10" s="45" t="str">
        <x:v>High</x:v>
      </x:c>
      <x:c r="F10" s="45" t="n">
        <x:v>6</x:v>
      </x:c>
      <x:c r="G10" s="525" t="n">
        <x:f>1-F10/200</x:f>
        <x:v>0.97</x:v>
      </x:c>
      <x:c r="H10" s="45" t="str">
        <x:v>Fail</x:v>
      </x:c>
      <x:c r="I10" s="45" t="str">
        <x:v>HR Data Owner</x:v>
      </x:c>
      <x:c r="J10" s="46" t="str">
        <x:v>Populate missing values and validate format/uniqueness.</x:v>
      </x:c>
    </x:row>
    <x:row r="11">
      <x:c r="A11" s="27" t="str">
        <x:v>DQ-006</x:v>
      </x:c>
      <x:c r="B11" s="28" t="str">
        <x:v>Completeness / Uniqueness</x:v>
      </x:c>
      <x:c r="C11" s="28" t="str">
        <x:v>AD_Username</x:v>
      </x:c>
      <x:c r="D11" s="45" t="str">
        <x:v>Must be populated and unique.</x:v>
      </x:c>
      <x:c r="E11" s="45" t="str">
        <x:v>High</x:v>
      </x:c>
      <x:c r="F11" s="45" t="n">
        <x:v>0</x:v>
      </x:c>
      <x:c r="G11" s="525" t="n">
        <x:f>1-F11/200</x:f>
        <x:v>1</x:v>
      </x:c>
      <x:c r="H11" s="45" t="str">
        <x:v>Pass</x:v>
      </x:c>
      <x:c r="I11" s="45" t="str">
        <x:v>Identity Owner</x:v>
      </x:c>
      <x:c r="J11" s="46" t="str">
        <x:v>Resolve duplicates before migration.</x:v>
      </x:c>
    </x:row>
    <x:row r="12">
      <x:c r="A12" s="27" t="str">
        <x:v>DQ-007</x:v>
      </x:c>
      <x:c r="B12" s="28" t="str">
        <x:v>Completeness / Uniqueness</x:v>
      </x:c>
      <x:c r="C12" s="28" t="str">
        <x:v>BambooHR_ID, Maconomy_ID, Xytech_ID</x:v>
      </x:c>
      <x:c r="D12" s="45" t="str">
        <x:v>All source-system identifiers must be populated and unique.</x:v>
      </x:c>
      <x:c r="E12" s="45" t="str">
        <x:v>Critical</x:v>
      </x:c>
      <x:c r="F12" s="45" t="n">
        <x:v>0</x:v>
      </x:c>
      <x:c r="G12" s="525" t="n">
        <x:f>1-F12/200</x:f>
        <x:v>1</x:v>
      </x:c>
      <x:c r="H12" s="45" t="str">
        <x:v>Pass</x:v>
      </x:c>
      <x:c r="I12" s="45" t="str">
        <x:v>System Owners</x:v>
      </x:c>
      <x:c r="J12" s="46" t="str">
        <x:v>Resolve nulls or collisions in source systems.</x:v>
      </x:c>
    </x:row>
    <x:row r="13">
      <x:c r="A13" s="27" t="str">
        <x:v>DQ-008</x:v>
      </x:c>
      <x:c r="B13" s="28" t="str">
        <x:v>Uniqueness / Consistency</x:v>
      </x:c>
      <x:c r="C13" s="28" t="str">
        <x:v>Duplicate_Flag</x:v>
      </x:c>
      <x:c r="D13" s="45" t="str">
        <x:v>Must be No for migration-ready records.</x:v>
      </x:c>
      <x:c r="E13" s="45" t="str">
        <x:v>High</x:v>
      </x:c>
      <x:c r="F13" s="45" t="n">
        <x:v>5</x:v>
      </x:c>
      <x:c r="G13" s="525" t="n">
        <x:f>1-F13/200</x:f>
        <x:v>0.975</x:v>
      </x:c>
      <x:c r="H13" s="45" t="str">
        <x:v>Fail</x:v>
      </x:c>
      <x:c r="I13" s="45" t="str">
        <x:v>Data Steward</x:v>
      </x:c>
      <x:c r="J13" s="46" t="str">
        <x:v>Investigate flagged records and approve surviving master record.</x:v>
      </x:c>
    </x:row>
    <x:row r="14">
      <x:c r="A14" s="27" t="str">
        <x:v>DQ-009</x:v>
      </x:c>
      <x:c r="B14" s="28" t="str">
        <x:v>Conformity</x:v>
      </x:c>
      <x:c r="C14" s="28" t="str">
        <x:v>Data_Quality_Status</x:v>
      </x:c>
      <x:c r="D14" s="45" t="str">
        <x:v>Must equal Clean.</x:v>
      </x:c>
      <x:c r="E14" s="45" t="str">
        <x:v>High</x:v>
      </x:c>
      <x:c r="F14" s="45" t="n">
        <x:v>11</x:v>
      </x:c>
      <x:c r="G14" s="525" t="n">
        <x:f>1-F14/200</x:f>
        <x:v>0.945</x:v>
      </x:c>
      <x:c r="H14" s="45" t="str">
        <x:v>Fail</x:v>
      </x:c>
      <x:c r="I14" s="45" t="str">
        <x:v>Data Quality Lead</x:v>
      </x:c>
      <x:c r="J14" s="46" t="str">
        <x:v>Close all underlying issues and update status.</x:v>
      </x:c>
    </x:row>
    <x:row r="15">
      <x:c r="A15" s="27" t="str">
        <x:v>DQ-010</x:v>
      </x:c>
      <x:c r="B15" s="28" t="str">
        <x:v>Governance</x:v>
      </x:c>
      <x:c r="C15" s="28" t="str">
        <x:v>Source_of_Truth</x:v>
      </x:c>
      <x:c r="D15" s="45" t="str">
        <x:v>Must equal Confirmed.</x:v>
      </x:c>
      <x:c r="E15" s="45" t="str">
        <x:v>Critical</x:v>
      </x:c>
      <x:c r="F15" s="45" t="n">
        <x:v>11</x:v>
      </x:c>
      <x:c r="G15" s="525" t="n">
        <x:f>1-F15/200</x:f>
        <x:v>0.945</x:v>
      </x:c>
      <x:c r="H15" s="45" t="str">
        <x:v>Fail</x:v>
      </x:c>
      <x:c r="I15" s="45" t="str">
        <x:v>Business Data Owner</x:v>
      </x:c>
      <x:c r="J15" s="46" t="str">
        <x:v>Confirm authoritative source and record evidence.</x:v>
      </x:c>
    </x:row>
    <x:row r="16">
      <x:c r="A16" s="27" t="str">
        <x:v>DQ-011</x:v>
      </x:c>
      <x:c r="B16" s="28" t="str">
        <x:v>Governance</x:v>
      </x:c>
      <x:c r="C16" s="28" t="str">
        <x:v>Validation_Status</x:v>
      </x:c>
      <x:c r="D16" s="45" t="str">
        <x:v>Must equal Validated.</x:v>
      </x:c>
      <x:c r="E16" s="45" t="str">
        <x:v>Critical</x:v>
      </x:c>
      <x:c r="F16" s="45" t="n">
        <x:v>11</x:v>
      </x:c>
      <x:c r="G16" s="525" t="n">
        <x:f>1-F16/200</x:f>
        <x:v>0.945</x:v>
      </x:c>
      <x:c r="H16" s="45" t="str">
        <x:v>Fail</x:v>
      </x:c>
      <x:c r="I16" s="45" t="str">
        <x:v>QA Reviewer</x:v>
      </x:c>
      <x:c r="J16" s="46" t="str">
        <x:v>Re-run controls and record validation sign-off.</x:v>
      </x:c>
    </x:row>
    <x:row r="17">
      <x:c r="A17" s="30" t="str">
        <x:v>DQ-012</x:v>
      </x:c>
      <x:c r="B17" s="31" t="str">
        <x:v>Migration Readiness</x:v>
      </x:c>
      <x:c r="C17" s="31" t="str">
        <x:v>All critical fields and controls</x:v>
      </x:c>
      <x:c r="D17" s="48" t="str">
        <x:v>Record must pass DQ-005, DQ-008, DQ-009, DQ-010 and DQ-011.</x:v>
      </x:c>
      <x:c r="E17" s="48" t="str">
        <x:v>Critical</x:v>
      </x:c>
      <x:c r="F17" s="48" t="n">
        <x:v>11</x:v>
      </x:c>
      <x:c r="G17" s="526" t="n">
        <x:f>1-F17/200</x:f>
        <x:v>0.945</x:v>
      </x:c>
      <x:c r="H17" s="48" t="str">
        <x:v>Fail</x:v>
      </x:c>
      <x:c r="I17" s="48" t="str">
        <x:v>Migration Lead</x:v>
      </x:c>
      <x:c r="J17" s="49" t="str">
        <x:v>Hold failed records from final load until remediated.</x:v>
      </x:c>
    </x:row>
  </x:sheetData>
  <x:mergeCells>
    <x:mergeCell ref="A1:J2"/>
    <x:mergeCell ref="A3:J3"/>
  </x:mergeCells>
  <x:conditionalFormatting sqref="H6:H17">
    <x:cfRule type="expression" dxfId="8" priority="1">
      <x:formula>H6="Fail"</x:formula>
    </x:cfRule>
    <x:cfRule type="expression" dxfId="9" priority="2">
      <x:formula>H6="Pass"</x:formula>
    </x:cfRule>
  </x:conditionalFormatting>
  <x:conditionalFormatting sqref="G6:G17">
    <x:cfRule type="colorScale" priority="3">
      <x:colorScale>
        <x:cfvo type="min"/>
        <x:cfvo type="percentile" val="50"/>
        <x:cfvo type="max"/>
        <x:color rgb="FFF4CCCC"/>
        <x:color rgb="FFFFF2CC"/>
        <x:color rgb="FFE2F0D9"/>
      </x:colorScale>
    </x:cfRule>
  </x:conditionalFormatting>
  <x:pageMargins left="0.7" right="0.7" top="0.75" bottom="0.75" header="0.3" footer="0.3"/>
  <x:tableParts count="1">
    <x:tablePart xmlns:r="http://schemas.openxmlformats.org/officeDocument/2006/relationships" r:id="R64e12b06a70d449d"/>
  </x:tableParts>
</x:worksheet>
</file>

<file path=xl/worksheets/sheet8.xml><?xml version="1.0" encoding="utf-8"?>
<x:worksheet xmlns:x="http://schemas.openxmlformats.org/spreadsheetml/2006/main">
  <x:sheetFormatPr defaultRowHeight="15"/>
  <x:cols>
    <x:col min="1" max="1" width="2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5" t="str">
        <x:v>Workbook Guide and Governance Notes</x:v>
      </x:c>
      <x:c r="B1" s="5"/>
      <x:c r="C1" s="5"/>
      <x:c r="D1" s="5"/>
      <x:c r="E1" s="5"/>
      <x:c r="F1" s="5"/>
      <x:c r="G1" s="5"/>
      <x:c r="H1" s="5"/>
    </x:row>
    <x:row r="2">
      <x:c r="A2" s="5"/>
      <x:c r="B2" s="5"/>
      <x:c r="C2" s="5"/>
      <x:c r="D2" s="5"/>
      <x:c r="E2" s="5"/>
      <x:c r="F2" s="5"/>
      <x:c r="G2" s="5"/>
      <x:c r="H2" s="5"/>
    </x:row>
    <x:row r="3">
      <x:c r="A3" s="11" t="str">
        <x:v>APEX-DQ-001 | People Data Migration Readiness Assessment | Version 1.0.0</x:v>
      </x:c>
      <x:c r="B3" s="11"/>
      <x:c r="C3" s="11"/>
      <x:c r="D3" s="11"/>
      <x:c r="E3" s="11"/>
      <x:c r="F3" s="11"/>
      <x:c r="G3" s="11"/>
      <x:c r="H3" s="11"/>
    </x:row>
    <x:row r="5">
      <x:c r="A5" s="19" t="str">
        <x:v>Purpose</x:v>
      </x:c>
      <x:c r="B5" s="19"/>
      <x:c r="C5" s="19"/>
      <x:c r="D5" s="19"/>
      <x:c r="E5" s="19"/>
      <x:c r="F5" s="19"/>
      <x:c r="G5" s="19"/>
      <x:c r="H5" s="19"/>
    </x:row>
    <x:row r="6">
      <x:c r="A6" s="541" t="str">
        <x:v>This workbook provides a controlled data-quality assessment of the uploaded People_Data dataset. It profiles field completeness and uniqueness, identifies records requiring remediation, documents the applied rules, and provides a formula-driven migration-readiness view.</x:v>
      </x:c>
      <x:c r="B6" s="542"/>
      <x:c r="C6" s="542"/>
      <x:c r="D6" s="542"/>
      <x:c r="E6" s="542"/>
      <x:c r="F6" s="542"/>
      <x:c r="G6" s="542"/>
      <x:c r="H6" s="543"/>
    </x:row>
    <x:row r="7">
      <x:c r="A7" s="544"/>
      <x:c r="B7" s="545"/>
      <x:c r="C7" s="545"/>
      <x:c r="D7" s="545"/>
      <x:c r="E7" s="545"/>
      <x:c r="F7" s="545"/>
      <x:c r="G7" s="545"/>
      <x:c r="H7" s="546"/>
    </x:row>
    <x:row r="9">
      <x:c r="A9" s="19" t="str">
        <x:v>Workbook Contents</x:v>
      </x:c>
      <x:c r="B9" s="19"/>
      <x:c r="C9" s="19"/>
      <x:c r="D9" s="19"/>
      <x:c r="E9" s="19"/>
      <x:c r="F9" s="19"/>
      <x:c r="G9" s="19"/>
      <x:c r="H9" s="19"/>
    </x:row>
    <x:row r="10">
      <x:c r="A10" s="499" t="str">
        <x:v>Sheet</x:v>
      </x:c>
      <x:c r="B10" s="500" t="str">
        <x:v>Purpose</x:v>
      </x:c>
      <x:c r="C10" s="500" t="str"/>
      <x:c r="D10" s="500" t="str"/>
      <x:c r="E10" s="500" t="str"/>
      <x:c r="F10" s="500" t="str"/>
      <x:c r="G10" s="500" t="str"/>
      <x:c r="H10" s="501" t="str"/>
    </x:row>
    <x:row r="11">
      <x:c r="A11" s="69" t="str">
        <x:v>DQ_Overview</x:v>
      </x:c>
      <x:c r="B11" s="45" t="str">
        <x:v>Executive KPI summary, decision statement, findings, actions and charts.</x:v>
      </x:c>
      <x:c r="C11" s="45" t="str"/>
      <x:c r="D11" s="45" t="str"/>
      <x:c r="E11" s="45" t="str"/>
      <x:c r="F11" s="45" t="str"/>
      <x:c r="G11" s="45" t="str"/>
      <x:c r="H11" s="46" t="str"/>
    </x:row>
    <x:row r="12">
      <x:c r="A12" s="69" t="str">
        <x:v>Field_Profile</x:v>
      </x:c>
      <x:c r="B12" s="45" t="str">
        <x:v>Field-level completeness, uniqueness, risk and assessment notes.</x:v>
      </x:c>
      <x:c r="C12" s="45" t="str"/>
      <x:c r="D12" s="45" t="str"/>
      <x:c r="E12" s="45" t="str"/>
      <x:c r="F12" s="45" t="str"/>
      <x:c r="G12" s="45" t="str"/>
      <x:c r="H12" s="46" t="str"/>
    </x:row>
    <x:row r="13">
      <x:c r="A13" s="69" t="str">
        <x:v>Issue_Register</x:v>
      </x:c>
      <x:c r="B13" s="45" t="str">
        <x:v>Record-level remediation register for the 11 held records.</x:v>
      </x:c>
      <x:c r="C13" s="45" t="str"/>
      <x:c r="D13" s="45" t="str"/>
      <x:c r="E13" s="45" t="str"/>
      <x:c r="F13" s="45" t="str"/>
      <x:c r="G13" s="45" t="str"/>
      <x:c r="H13" s="46" t="str"/>
    </x:row>
    <x:row r="14">
      <x:c r="A14" s="69" t="str">
        <x:v>Assessed_Data</x:v>
      </x:c>
      <x:c r="B14" s="45" t="str">
        <x:v>Source records plus formula-driven checks, quality score and migration readiness.</x:v>
      </x:c>
      <x:c r="C14" s="45" t="str"/>
      <x:c r="D14" s="45" t="str"/>
      <x:c r="E14" s="45" t="str"/>
      <x:c r="F14" s="45" t="str"/>
      <x:c r="G14" s="45" t="str"/>
      <x:c r="H14" s="46" t="str"/>
    </x:row>
    <x:row r="15">
      <x:c r="A15" s="69" t="str">
        <x:v>Rule_Catalogue</x:v>
      </x:c>
      <x:c r="B15" s="45" t="str">
        <x:v>Data-quality rules, criticality, failed counts, pass rates and controls.</x:v>
      </x:c>
      <x:c r="C15" s="45" t="str"/>
      <x:c r="D15" s="45" t="str"/>
      <x:c r="E15" s="45" t="str"/>
      <x:c r="F15" s="45" t="str"/>
      <x:c r="G15" s="45" t="str"/>
      <x:c r="H15" s="46" t="str"/>
    </x:row>
    <x:row r="16">
      <x:c r="A16" s="69" t="str">
        <x:v>People_Data</x:v>
      </x:c>
      <x:c r="B16" s="45" t="str">
        <x:v>Original uploaded source dataset retained unchanged.</x:v>
      </x:c>
      <x:c r="C16" s="45" t="str"/>
      <x:c r="D16" s="45" t="str"/>
      <x:c r="E16" s="45" t="str"/>
      <x:c r="F16" s="45" t="str"/>
      <x:c r="G16" s="45" t="str"/>
      <x:c r="H16" s="46" t="str"/>
    </x:row>
    <x:row r="17">
      <x:c r="A17" s="70" t="str">
        <x:v>Scenario_Guide</x:v>
      </x:c>
      <x:c r="B17" s="48" t="str">
        <x:v>Original scenario tasks retained unchanged.</x:v>
      </x:c>
      <x:c r="C17" s="48" t="str"/>
      <x:c r="D17" s="48" t="str"/>
      <x:c r="E17" s="48" t="str"/>
      <x:c r="F17" s="48" t="str"/>
      <x:c r="G17" s="48" t="str"/>
      <x:c r="H17" s="49" t="str"/>
    </x:row>
    <x:row r="19">
      <x:c r="A19" s="19" t="str">
        <x:v>Methodology and Limitations</x:v>
      </x:c>
      <x:c r="B19" s="19"/>
      <x:c r="C19" s="19"/>
      <x:c r="D19" s="19"/>
      <x:c r="E19" s="19"/>
      <x:c r="F19" s="19"/>
      <x:c r="G19" s="19"/>
      <x:c r="H19" s="19"/>
    </x:row>
    <x:row r="20">
      <x:c r="A20" s="68" t="str">
        <x:v>Method</x:v>
      </x:c>
      <x:c r="B20" s="42" t="str">
        <x:v>Profiled all 200 rows and 16 source fields; tested completeness, basic format validity, uniqueness of key identifiers, control-status conformity and record readiness.</x:v>
      </x:c>
      <x:c r="C20" s="42" t="str"/>
      <x:c r="D20" s="42" t="str"/>
      <x:c r="E20" s="42" t="str"/>
      <x:c r="F20" s="42" t="str"/>
      <x:c r="G20" s="42" t="str"/>
      <x:c r="H20" s="43" t="str"/>
    </x:row>
    <x:row r="21">
      <x:c r="A21" s="69" t="str">
        <x:v>Duplicate interpretation</x:v>
      </x:c>
      <x:c r="B21" s="45" t="str">
        <x:v>Five records are explicitly marked Duplicate_Flag = Yes. No repeated values were found in Employee_ID, Email, AD_Username, BambooHR_ID, Maconomy_ID or Xytech_ID. The matching rule or duplicate counterpart was not supplied.</x:v>
      </x:c>
      <x:c r="C21" s="45" t="str"/>
      <x:c r="D21" s="45" t="str"/>
      <x:c r="E21" s="45" t="str"/>
      <x:c r="F21" s="45" t="str"/>
      <x:c r="G21" s="45" t="str"/>
      <x:c r="H21" s="46" t="str"/>
    </x:row>
    <x:row r="22">
      <x:c r="A22" s="69" t="str">
        <x:v>Email validation</x:v>
      </x:c>
      <x:c r="B22" s="45" t="str">
        <x:v>Email checks use a basic structural pattern and do not confirm mailbox existence or deliverability.</x:v>
      </x:c>
      <x:c r="C22" s="45" t="str"/>
      <x:c r="D22" s="45" t="str"/>
      <x:c r="E22" s="45" t="str"/>
      <x:c r="F22" s="45" t="str"/>
      <x:c r="G22" s="45" t="str"/>
      <x:c r="H22" s="46" t="str"/>
    </x:row>
    <x:row r="23">
      <x:c r="A23" s="69" t="str">
        <x:v>Governance boundary</x:v>
      </x:c>
      <x:c r="B23" s="45" t="str">
        <x:v>This workbook supports migration decisions but does not itself authorise migration. Accountable data owners and QA reviewers must approve remediation and release.</x:v>
      </x:c>
      <x:c r="C23" s="45" t="str"/>
      <x:c r="D23" s="45" t="str"/>
      <x:c r="E23" s="45" t="str"/>
      <x:c r="F23" s="45" t="str"/>
      <x:c r="G23" s="45" t="str"/>
      <x:c r="H23" s="46" t="str"/>
    </x:row>
    <x:row r="24">
      <x:c r="A24" s="70" t="str">
        <x:v>Source handling</x:v>
      </x:c>
      <x:c r="B24" s="48" t="str">
        <x:v>The original People_Data and Scenario_Guide sheets are retained as the source basis. Assessment sheets are additive and do not overwrite source values.</x:v>
      </x:c>
      <x:c r="C24" s="48" t="str"/>
      <x:c r="D24" s="48" t="str"/>
      <x:c r="E24" s="48" t="str"/>
      <x:c r="F24" s="48" t="str"/>
      <x:c r="G24" s="48" t="str"/>
      <x:c r="H24" s="49" t="str"/>
    </x:row>
  </x:sheetData>
  <x:mergeCells>
    <x:mergeCell ref="A1:H2"/>
    <x:mergeCell ref="A3:H3"/>
    <x:mergeCell ref="A5:H5"/>
    <x:mergeCell ref="A6:H7"/>
    <x:mergeCell ref="A9:H9"/>
    <x:mergeCell ref="B10:H10"/>
    <x:mergeCell ref="B11:H11"/>
    <x:mergeCell ref="B12:H12"/>
    <x:mergeCell ref="B13:H13"/>
    <x:mergeCell ref="B14:H14"/>
    <x:mergeCell ref="B15:H15"/>
    <x:mergeCell ref="B16:H16"/>
    <x:mergeCell ref="B17:H17"/>
    <x:mergeCell ref="A19:H19"/>
    <x:mergeCell ref="B20:H20"/>
    <x:mergeCell ref="B21:H21"/>
    <x:mergeCell ref="B22:H22"/>
    <x:mergeCell ref="B23:H23"/>
    <x:mergeCell ref="B24:H24"/>
  </x:mergeCells>
  <x:pageMargins left="0.7" right="0.7" top="0.75" bottom="0.75" header="0.3" footer="0.3"/>
</x:worksheet>
</file>